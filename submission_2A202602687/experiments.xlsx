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s:worksheet xmlns:s="http://schemas.openxmlformats.org/spreadsheetml/2006/main">
  <s:sheetPr filterMode="0">
    <s:outlinePr summaryBelow="1" summaryRight="1"/>
    <s:pageSetUpPr fitToPage="0"/>
  </s:sheetPr>
  <s:dimension ref="A1:AG61"/>
  <s:sheetViews>
    <s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:pane xSplit="1" ySplit="1" topLeftCell="B2" activePane="bottomRight" state="frozen"/>
      <s:selection pane="topLeft" activeCell="A1" activeCellId="0" sqref="A1"/>
      <s:selection pane="topRight" activeCell="B1" activeCellId="0" sqref="B1"/>
      <s:selection pane="bottomLeft" activeCell="A2" activeCellId="0" sqref="A2"/>
      <s:selection pane="bottomRight" activeCell="A1" activeCellId="0" sqref="A1"/>
    </s:sheetView>
  </s:sheetViews>
  <s:sheetFormatPr baseColWidth="8" defaultColWidth="8.6796875" defaultRowHeight="15" customHeight="0" zeroHeight="0" outlineLevelRow="0"/>
  <s:cols>
    <s:col width="16" customWidth="1" style="19" min="1" max="1"/>
    <s:col width="11" customWidth="1" style="19" min="2" max="2"/>
    <s:col width="34" customWidth="1" style="19" min="3" max="3"/>
    <s:col width="8" customWidth="1" style="19" min="4" max="4"/>
    <s:col width="15" customWidth="1" style="19" min="5" max="5"/>
    <s:col width="9" customWidth="1" style="19" min="6" max="7"/>
    <s:col width="7" customWidth="1" style="19" min="8" max="9"/>
    <s:col width="12" customWidth="1" style="19" min="10" max="10"/>
    <s:col width="8" customWidth="1" style="19" min="11" max="11"/>
    <s:col width="9" customWidth="1" style="19" min="12" max="12"/>
    <s:col width="10" customWidth="1" style="19" min="13" max="13"/>
    <s:col width="9" customWidth="1" style="19" min="14" max="14"/>
    <s:col width="6" customWidth="1" style="19" min="15" max="15"/>
    <s:col width="10" customWidth="1" style="19" min="16" max="17"/>
    <s:col width="8" customWidth="1" style="19" min="18" max="18"/>
    <s:col width="10" customWidth="1" style="19" min="19" max="20"/>
    <s:col width="9" customWidth="1" style="19" min="21" max="22"/>
    <s:col width="10" customWidth="1" style="19" min="23" max="23"/>
    <s:col width="9" customWidth="1" style="19" min="24" max="27"/>
    <s:col width="22" customWidth="1" style="19" min="28" max="28"/>
    <s:col width="36" customWidth="1" style="19" min="29" max="29"/>
    <s:col width="10" customWidth="1" style="19" min="30" max="32"/>
    <s:col width="9" customWidth="1" style="19" min="33" max="33"/>
  </s:cols>
  <s:sheetData>
    <s:row r="1" ht="42" customHeight="1" s="20">
      <s:c r="A1" s="27" t="inlineStr">
        <s:is>
          <s:t>exp_id</s:t>
        </s:is>
      </s:c>
      <s:c r="B1" s="27" t="inlineStr">
        <s:is>
          <s:t>group</s:t>
        </s:is>
      </s:c>
      <s:c r="C1" s="27" t="inlineStr">
        <s:is>
          <s:t>description</s:t>
        </s:is>
      </s:c>
      <s:c r="D1" s="27" t="inlineStr">
        <s:is>
          <s:t>loss</s:t>
        </s:is>
      </s:c>
      <s:c r="E1" s="27" t="inlineStr">
        <s:is>
          <s:t>optimizer</s:t>
        </s:is>
      </s:c>
      <s:c r="F1" s="27" t="inlineStr">
        <s:is>
          <s:t>lr</s:t>
        </s:is>
      </s:c>
      <s:c r="G1" s="27" t="inlineStr">
        <s:is>
          <s:t>weight_decay</s:t>
        </s:is>
      </s:c>
      <s:c r="H1" s="27" t="inlineStr">
        <s:is>
          <s:t>batch</s:t>
        </s:is>
      </s:c>
      <s:c r="I1" s="27" t="inlineStr">
        <s:is>
          <s:t>epochs</s:t>
        </s:is>
      </s:c>
      <s:c r="J1" s="27" t="inlineStr">
        <s:is>
          <s:t>hidden</s:t>
        </s:is>
      </s:c>
      <s:c r="K1" s="27" t="inlineStr">
        <s:is>
          <s:t>dropout</s:t>
        </s:is>
      </s:c>
      <s:c r="L1" s="27" t="inlineStr">
        <s:is>
          <s:t>clip_norm</s:t>
        </s:is>
      </s:c>
      <s:c r="M1" s="27" t="inlineStr">
        <s:is>
          <s:t>precision</s:t>
        </s:is>
      </s:c>
      <s:c r="N1" s="27" t="inlineStr">
        <s:is>
          <s:t>init</s:t>
        </s:is>
      </s:c>
      <s:c r="O1" s="27" t="inlineStr">
        <s:is>
          <s:t>seed</s:t>
        </s:is>
      </s:c>
      <s:c r="P1" s="27" t="inlineStr">
        <s:is>
          <s:t>step0_loss</s:t>
        </s:is>
      </s:c>
      <s:c r="Q1" s="27" t="inlineStr">
        <s:is>
          <s:t>best_val_loss</s:t>
        </s:is>
      </s:c>
      <s:c r="R1" s="27" t="inlineStr">
        <s:is>
          <s:t>best_epoch</s:t>
        </s:is>
      </s:c>
      <s:c r="S1" s="27" t="inlineStr">
        <s:is>
          <s:t>final_train_loss</s:t>
        </s:is>
      </s:c>
      <s:c r="T1" s="27" t="inlineStr">
        <s:is>
          <s:t>final_val_loss</s:t>
        </s:is>
      </s:c>
      <s:c r="U1" s="27" t="inlineStr">
        <s:is>
          <s:t>val_acc</s:t>
        </s:is>
      </s:c>
      <s:c r="V1" s="27" t="inlineStr">
        <s:is>
          <s:t>val_macro_f1</s:t>
        </s:is>
      </s:c>
      <s:c r="W1" s="27" t="inlineStr">
        <s:is>
          <s:t>time_per_epoch_s</s:t>
        </s:is>
      </s:c>
      <s:c r="X1" s="27" t="inlineStr">
        <s:is>
          <s:t>peak_mem_MB</s:t>
        </s:is>
      </s:c>
      <s:c r="Y1" s="27" t="inlineStr">
        <s:is>
          <s:t>diverged</s:t>
        </s:is>
      </s:c>
      <s:c r="Z1" s="27" t="inlineStr">
        <s:is>
          <s:t>eval_acc</s:t>
        </s:is>
      </s:c>
      <s:c r="AA1" s="27" t="inlineStr">
        <s:is>
          <s:t>eval_macro_f1</s:t>
        </s:is>
      </s:c>
      <s:c r="AB1" s="27" t="inlineStr">
        <s:is>
          <s:t>figure_file</s:t>
        </s:is>
      </s:c>
      <s:c r="AC1" s="27" t="inlineStr">
        <s:is>
          <s:t>notes</s:t>
        </s:is>
      </s:c>
      <s:c r="AD1" s="27" t="inlineStr">
        <s:is>
          <s:t>step0_gap_vs_lnC</s:t>
        </s:is>
      </s:c>
      <s:c r="AE1" s="27" t="inlineStr">
        <s:is>
          <s:t>gap_val_minus_train</s:t>
        </s:is>
      </s:c>
      <s:c r="AF1" s="27" t="inlineStr">
        <s:is>
          <s:t>delta_val_f1_vs_base</s:t>
        </s:is>
      </s:c>
      <s:c r="AG1" s="27" t="inlineStr">
        <s:is>
          <s:t>beyond_noise</s:t>
        </s:is>
      </s:c>
    </s:row>
    <s:row r="2" ht="15" customHeight="1" s="20">
      <s:c r="A2" s="32" t="inlineStr">
        <s:is>
          <s:t>amp-fp16</s:t>
        </s:is>
      </s:c>
      <s:c r="B2" s="32" t="inlineStr">
        <s:is>
          <s:t>amp</s:t>
        </s:is>
      </s:c>
      <s:c r="C2" s="32" t="inlineStr">
        <s:is>
          <s:t>Controlled amp comparison</s:t>
        </s:is>
      </s:c>
      <s:c r="D2" s="32" t="inlineStr">
        <s:is>
          <s:t>ce</s:t>
        </s:is>
      </s:c>
      <s:c r="E2" s="32" t="inlineStr">
        <s:is>
          <s:t>sgd_momentum</s:t>
        </s:is>
      </s:c>
      <s:c r="F2" s="33" t="n">
        <s:v>0.05</s:v>
      </s:c>
      <s:c r="G2" s="32" t="n">
        <s:v>0</s:v>
      </s:c>
      <s:c r="H2" s="32" t="n">
        <s:v>512</s:v>
      </s:c>
      <s:c r="I2" s="32" t="n">
        <s:v>20</s:v>
      </s:c>
      <s:c r="J2" s="32" t="inlineStr">
        <s:is>
          <s:t>256-128</s:t>
        </s:is>
      </s:c>
      <s:c r="K2" s="32" t="n">
        <s:v>0</s:v>
      </s:c>
      <s:c r="L2" s="32" t="inlineStr">
        <s:is>
          <s:t>none</s:t>
        </s:is>
      </s:c>
      <s:c r="M2" s="32" t="inlineStr">
        <s:is>
          <s:t>fp16</s:t>
        </s:is>
      </s:c>
      <s:c r="N2" s="32" t="inlineStr">
        <s:is>
          <s:t>he</s:t>
        </s:is>
      </s:c>
      <s:c r="O2" s="32" t="n">
        <s:v>1</s:v>
      </s:c>
      <s:c r="P2" s="34" t="n">
        <s:v>2.269061720111444</s:v>
      </s:c>
      <s:c r="Q2" s="34" t="n">
        <s:v>0.2522136271070438</s:v>
      </s:c>
      <s:c r="R2" s="33" t="n">
        <s:v>19</s:v>
      </s:c>
      <s:c r="S2" s="34" t="n">
        <s:v>0.249428359375</s:v>
      </s:c>
      <s:c r="T2" s="34" t="n">
        <s:v>0.2695291279971924</s:v>
      </s:c>
      <s:c r="U2" s="34" t="n">
        <s:v>0.897646350121555</s:v>
      </s:c>
      <s:c r="V2" s="34" t="n">
        <s:v>0.8318726725314878</s:v>
      </s:c>
      <s:c r="W2" s="33" t="n">
        <s:v>2.28334174499978</s:v>
      </s:c>
      <s:c r="X2" s="33" t="n">
        <s:v>159.4150390625</s:v>
      </s:c>
      <s:c r="Y2" s="33" t="b">
        <s:v>0</s:v>
      </s:c>
      <s:c r="Z2" s="34" t="n"/>
      <s:c r="AA2" s="34" t="n"/>
      <s:c r="AB2" s="33" t="inlineStr">
        <s:is>
          <s:t>figures/amp-fp16.png</s:t>
        </s:is>
      </s:c>
      <s:c r="AC2" s="33" t="inlineStr">
        <s:is>
          <s:t>One factor changed relative to baseline; fixed seed 1.; activation_std=[0.3904455602169037, 0.36608922481536865, 0.5759302377700806]; mean clip_fraction=0.0</s:t>
        </s:is>
      </s:c>
      <s:c r="AD2" s="35">
        <s:f>IF(P2="","",P2-LN(7))</s:f>
        <s:v>0.32315157105613035</s:v>
      </s:c>
      <s:c r="AE2" s="35">
        <s:f>IF(OR(T2="",S2=""),"",T2-S2)</s:f>
        <s:v>0.020100768622192428</s:v>
      </s:c>
      <s:c r="AF2" s="35">
        <s:f>IF(OR(V2="",Seeds!$C$8=""),"",V2-Seeds!$C$8)</s:f>
        <s:v>-0.008707077411221453</s:v>
      </s:c>
      <s:c r="AG2" s="35" t="str">
        <s:f>IF(OR(AF2="",Seeds!$C$10=""),"",IF(ABS(AF2)&gt;Seeds!$C$10,"Có","Không"))</s:f>
        <s:v>Kh?ng</s:v>
      </s:c>
    </s:row>
    <s:row r="3" ht="15" customHeight="1" s="20">
      <s:c r="A3" s="33" t="inlineStr">
        <s:is>
          <s:t>base-s1</s:t>
        </s:is>
      </s:c>
      <s:c r="B3" s="33" t="inlineStr">
        <s:is>
          <s:t>baseline</s:t>
        </s:is>
      </s:c>
      <s:c r="C3" s="33" t="inlineStr">
        <s:is>
          <s:t>Baseline M-base</s:t>
        </s:is>
      </s:c>
      <s:c r="D3" s="33" t="inlineStr">
        <s:is>
          <s:t>ce</s:t>
        </s:is>
      </s:c>
      <s:c r="E3" s="33" t="inlineStr">
        <s:is>
          <s:t>sgd_momentum</s:t>
        </s:is>
      </s:c>
      <s:c r="F3" s="33" t="n">
        <s:v>0.05</s:v>
      </s:c>
      <s:c r="G3" s="33" t="n">
        <s:v>0</s:v>
      </s:c>
      <s:c r="H3" s="33" t="n">
        <s:v>512</s:v>
      </s:c>
      <s:c r="I3" s="33" t="n">
        <s:v>20</s:v>
      </s:c>
      <s:c r="J3" s="33" t="inlineStr">
        <s:is>
          <s:t>256-128</s:t>
        </s:is>
      </s:c>
      <s:c r="K3" s="33" t="n">
        <s:v>0</s:v>
      </s:c>
      <s:c r="L3" s="33" t="inlineStr">
        <s:is>
          <s:t>none</s:t>
        </s:is>
      </s:c>
      <s:c r="M3" s="33" t="inlineStr">
        <s:is>
          <s:t>fp32</s:t>
        </s:is>
      </s:c>
      <s:c r="N3" s="33" t="inlineStr">
        <s:is>
          <s:t>he</s:t>
        </s:is>
      </s:c>
      <s:c r="O3" s="33" t="n">
        <s:v>1</s:v>
      </s:c>
      <s:c r="P3" s="34" t="n">
        <s:v>2.269061720111444</s:v>
      </s:c>
      <s:c r="Q3" s="34" t="n">
        <s:v>0.2460697146414664</s:v>
      </s:c>
      <s:c r="R3" s="33" t="n">
        <s:v>19</s:v>
      </s:c>
      <s:c r="S3" s="34" t="n">
        <s:v>0.2390378515625</s:v>
      </s:c>
      <s:c r="T3" s="34" t="n">
        <s:v>0.2606036900494288</s:v>
      </s:c>
      <s:c r="U3" s="34" t="n">
        <s:v>0.8998945805813128</s:v>
      </s:c>
      <s:c r="V3" s="34" t="n">
        <s:v>0.8409000948669381</s:v>
      </s:c>
      <s:c r="W3" s="33" t="n">
        <s:v>1.983739764999882</s:v>
      </s:c>
      <s:c r="X3" s="33" t="n">
        <s:v>159.4140625</s:v>
      </s:c>
      <s:c r="Y3" s="33" t="b">
        <s:v>0</s:v>
      </s:c>
      <s:c r="Z3" s="34" t="n">
        <s:v>0.8991936524874573</s:v>
      </s:c>
      <s:c r="AA3" s="34" t="n">
        <s:v>0.8442779921292285</s:v>
      </s:c>
      <s:c r="AB3" s="33" t="inlineStr">
        <s:is>
          <s:t>figures/base-s1.png</s:t>
        </s:is>
      </s:c>
      <s:c r="AC3" s="33" t="inlineStr">
        <s:is>
          <s:t>LR selected on validation; identical split seed 42.; BF16 skipped: no native hardware support; AMP comparison uses FP16. Majority val acc=0.487597083; health step0=2.269061720; overfit20 loss=0.000000631809, acc=1.0, updates=600; health/details in results/health.json. Diagnostics and initialization activation_std are stored in results JSON; peak includes resident data; time includes epoch evaluation.; activation_std=[0.3904455602169037, 0.36608922481536865, 0.5759302377700806]; mean clip_fraction=0.0</s:t>
        </s:is>
      </s:c>
      <s:c r="AD3" s="35">
        <s:f>IF(P3="","",P3-LN(7))</s:f>
        <s:v>0.32315157105613035</s:v>
      </s:c>
      <s:c r="AE3" s="35">
        <s:f>IF(OR(T3="",S3=""),"",T3-S3)</s:f>
        <s:v>0.021565838486928807</s:v>
      </s:c>
      <s:c r="AF3" s="35">
        <s:f>IF(OR(V3="",Seeds!$C$8=""),"",V3-Seeds!$C$8)</s:f>
        <s:v>0.00032034492422883254</s:v>
      </s:c>
      <s:c r="AG3" s="35" t="str">
        <s:f>IF(OR(AF3="",Seeds!$C$10=""),"",IF(ABS(AF3)&gt;Seeds!$C$10,"Có","Không"))</s:f>
        <s:v>Kh?ng</s:v>
      </s:c>
    </s:row>
    <s:row r="4" ht="15" customHeight="1" s="20">
      <s:c r="A4" s="33" t="inlineStr">
        <s:is>
          <s:t>base-s2</s:t>
        </s:is>
      </s:c>
      <s:c r="B4" s="33" t="inlineStr">
        <s:is>
          <s:t>baseline</s:t>
        </s:is>
      </s:c>
      <s:c r="C4" s="33" t="inlineStr">
        <s:is>
          <s:t>Baseline M-base</s:t>
        </s:is>
      </s:c>
      <s:c r="D4" s="33" t="inlineStr">
        <s:is>
          <s:t>ce</s:t>
        </s:is>
      </s:c>
      <s:c r="E4" s="33" t="inlineStr">
        <s:is>
          <s:t>sgd_momentum</s:t>
        </s:is>
      </s:c>
      <s:c r="F4" s="33" t="n">
        <s:v>0.05</s:v>
      </s:c>
      <s:c r="G4" s="33" t="n">
        <s:v>0</s:v>
      </s:c>
      <s:c r="H4" s="33" t="n">
        <s:v>512</s:v>
      </s:c>
      <s:c r="I4" s="33" t="n">
        <s:v>20</s:v>
      </s:c>
      <s:c r="J4" s="33" t="inlineStr">
        <s:is>
          <s:t>256-128</s:t>
        </s:is>
      </s:c>
      <s:c r="K4" s="33" t="n">
        <s:v>0</s:v>
      </s:c>
      <s:c r="L4" s="33" t="inlineStr">
        <s:is>
          <s:t>none</s:t>
        </s:is>
      </s:c>
      <s:c r="M4" s="33" t="inlineStr">
        <s:is>
          <s:t>fp32</s:t>
        </s:is>
      </s:c>
      <s:c r="N4" s="33" t="inlineStr">
        <s:is>
          <s:t>he</s:t>
        </s:is>
      </s:c>
      <s:c r="O4" s="33" t="n">
        <s:v>2</s:v>
      </s:c>
      <s:c r="P4" s="34" t="n">
        <s:v>1.978156733396442</s:v>
      </s:c>
      <s:c r="Q4" s="34" t="n">
        <s:v>0.2485008155213958</s:v>
      </s:c>
      <s:c r="R4" s="33" t="n">
        <s:v>20</s:v>
      </s:c>
      <s:c r="S4" s="34" t="n">
        <s:v>0.226578046875</s:v>
      </s:c>
      <s:c r="T4" s="34" t="n">
        <s:v>0.2485008155213958</s:v>
      </s:c>
      <s:c r="U4" s="34" t="n">
        <s:v>0.9011746735225146</s:v>
      </s:c>
      <s:c r="V4" s="34" t="n">
        <s:v>0.8342671582111988</s:v>
      </s:c>
      <s:c r="W4" s="33" t="n">
        <s:v>1.982907255000282</s:v>
      </s:c>
      <s:c r="X4" s="33" t="n">
        <s:v>159.4140625</s:v>
      </s:c>
      <s:c r="Y4" s="33" t="b">
        <s:v>0</s:v>
      </s:c>
      <s:c r="Z4" s="34" t="n">
        <s:v>0.9011041023037271</s:v>
      </s:c>
      <s:c r="AA4" s="34" t="n">
        <s:v>0.8421535235166261</s:v>
      </s:c>
      <s:c r="AB4" s="33" t="inlineStr">
        <s:is>
          <s:t>figures/base-s2.png</s:t>
        </s:is>
      </s:c>
      <s:c r="AC4" s="33" t="inlineStr">
        <s:is>
          <s:t>LR selected on validation; identical split seed 42.; activation_std=[0.40398284792900085, 0.40718355774879456, 0.5450341105461121]; mean clip_fraction=0.0</s:t>
        </s:is>
      </s:c>
      <s:c r="AD4" s="35">
        <s:f>IF(P4="","",P4-LN(7))</s:f>
        <s:v>0.03224658434112837</s:v>
      </s:c>
      <s:c r="AE4" s="35">
        <s:f>IF(OR(T4="",S4=""),"",T4-S4)</s:f>
        <s:v>0.021922768646395835</s:v>
      </s:c>
      <s:c r="AF4" s="35">
        <s:f>IF(OR(V4="",Seeds!$C$8=""),"",V4-Seeds!$C$8)</s:f>
        <s:v>-0.006312591731510442</s:v>
      </s:c>
      <s:c r="AG4" s="35" t="str">
        <s:f>IF(OR(AF4="",Seeds!$C$10=""),"",IF(ABS(AF4)&gt;Seeds!$C$10,"Có","Không"))</s:f>
        <s:v>Kh?ng</s:v>
      </s:c>
    </s:row>
    <s:row r="5" ht="15" customHeight="1" s="20">
      <s:c r="A5" s="33" t="inlineStr">
        <s:is>
          <s:t>base-s3</s:t>
        </s:is>
      </s:c>
      <s:c r="B5" s="33" t="inlineStr">
        <s:is>
          <s:t>baseline</s:t>
        </s:is>
      </s:c>
      <s:c r="C5" s="33" t="inlineStr">
        <s:is>
          <s:t>Baseline M-base</s:t>
        </s:is>
      </s:c>
      <s:c r="D5" s="33" t="inlineStr">
        <s:is>
          <s:t>ce</s:t>
        </s:is>
      </s:c>
      <s:c r="E5" s="33" t="inlineStr">
        <s:is>
          <s:t>sgd_momentum</s:t>
        </s:is>
      </s:c>
      <s:c r="F5" s="33" t="n">
        <s:v>0.05</s:v>
      </s:c>
      <s:c r="G5" s="33" t="n">
        <s:v>0</s:v>
      </s:c>
      <s:c r="H5" s="33" t="n">
        <s:v>512</s:v>
      </s:c>
      <s:c r="I5" s="33" t="n">
        <s:v>20</s:v>
      </s:c>
      <s:c r="J5" s="33" t="inlineStr">
        <s:is>
          <s:t>256-128</s:t>
        </s:is>
      </s:c>
      <s:c r="K5" s="33" t="n">
        <s:v>0</s:v>
      </s:c>
      <s:c r="L5" s="33" t="inlineStr">
        <s:is>
          <s:t>none</s:t>
        </s:is>
      </s:c>
      <s:c r="M5" s="33" t="inlineStr">
        <s:is>
          <s:t>fp32</s:t>
        </s:is>
      </s:c>
      <s:c r="N5" s="33" t="inlineStr">
        <s:is>
          <s:t>he</s:t>
        </s:is>
      </s:c>
      <s:c r="O5" s="33" t="n">
        <s:v>3</s:v>
      </s:c>
      <s:c r="P5" s="34" t="n">
        <s:v>1.900540005593683</s:v>
      </s:c>
      <s:c r="Q5" s="34" t="n">
        <s:v>0.2369823111526753</s:v>
      </s:c>
      <s:c r="R5" s="33" t="n">
        <s:v>20</s:v>
      </s:c>
      <s:c r="S5" s="34" t="n">
        <s:v>0.21667564453125</s:v>
      </s:c>
      <s:c r="T5" s="34" t="n">
        <s:v>0.2369823111526753</s:v>
      </s:c>
      <s:c r="U5" s="34" t="n">
        <s:v>0.904616940255158</s:v>
      </s:c>
      <s:c r="V5" s="34" t="n">
        <s:v>0.846571996749991</s:v>
      </s:c>
      <s:c r="W5" s="33" t="n">
        <s:v>2.001570975001232</s:v>
      </s:c>
      <s:c r="X5" s="33" t="n">
        <s:v>159.4140625</s:v>
      </s:c>
      <s:c r="Y5" s="33" t="b">
        <s:v>0</s:v>
      </s:c>
      <s:c r="Z5" s="34" t="n">
        <s:v>0.9034018054611327</s:v>
      </s:c>
      <s:c r="AA5" s="34" t="n">
        <s:v>0.8512196518203138</s:v>
      </s:c>
      <s:c r="AB5" s="33" t="inlineStr">
        <s:is>
          <s:t>figures/base-s3.png</s:t>
        </s:is>
      </s:c>
      <s:c r="AC5" s="33" t="inlineStr">
        <s:is>
          <s:t>LR selected on validation; identical split seed 42.; activation_std=[0.3927856683731079, 0.4206945300102234, 0.5369671583175659]; mean clip_fraction=0.0</s:t>
        </s:is>
      </s:c>
      <s:c r="AD5" s="35">
        <s:f>IF(P5="","",P5-LN(7))</s:f>
        <s:v>-0.04537014346162982</s:v>
      </s:c>
      <s:c r="AE5" s="35">
        <s:f>IF(OR(T5="",S5=""),"",T5-S5)</s:f>
        <s:v>0.0203066666214253</s:v>
      </s:c>
      <s:c r="AF5" s="35">
        <s:f>IF(OR(V5="",Seeds!$C$8=""),"",V5-Seeds!$C$8)</s:f>
        <s:v>0.00599224680728172</s:v>
      </s:c>
      <s:c r="AG5" s="35" t="str">
        <s:f>IF(OR(AF5="",Seeds!$C$10=""),"",IF(ABS(AF5)&gt;Seeds!$C$10,"Có","Không"))</s:f>
        <s:v>Kh?ng</s:v>
      </s:c>
    </s:row>
    <s:row r="6" ht="15" customHeight="1" s="20">
      <s:c r="A6" s="33" t="inlineStr">
        <s:is>
          <s:t>clip-normal</s:t>
        </s:is>
      </s:c>
      <s:c r="B6" s="33" t="inlineStr">
        <s:is>
          <s:t>clipping</s:t>
        </s:is>
      </s:c>
      <s:c r="C6" s="33" t="inlineStr">
        <s:is>
          <s:t>Controlled clipping comparison</s:t>
        </s:is>
      </s:c>
      <s:c r="D6" s="33" t="inlineStr">
        <s:is>
          <s:t>ce</s:t>
        </s:is>
      </s:c>
      <s:c r="E6" s="33" t="inlineStr">
        <s:is>
          <s:t>sgd_momentum</s:t>
        </s:is>
      </s:c>
      <s:c r="F6" s="33" t="n">
        <s:v>0.05</s:v>
      </s:c>
      <s:c r="G6" s="33" t="n">
        <s:v>0</s:v>
      </s:c>
      <s:c r="H6" s="33" t="n">
        <s:v>512</s:v>
      </s:c>
      <s:c r="I6" s="33" t="n">
        <s:v>20</s:v>
      </s:c>
      <s:c r="J6" s="33" t="inlineStr">
        <s:is>
          <s:t>256-128</s:t>
        </s:is>
      </s:c>
      <s:c r="K6" s="33" t="n">
        <s:v>0</s:v>
      </s:c>
      <s:c r="L6" s="33" t="n">
        <s:v>0.3896930664777756</s:v>
      </s:c>
      <s:c r="M6" s="33" t="inlineStr">
        <s:is>
          <s:t>fp32</s:t>
        </s:is>
      </s:c>
      <s:c r="N6" s="33" t="inlineStr">
        <s:is>
          <s:t>he</s:t>
        </s:is>
      </s:c>
      <s:c r="O6" s="33" t="n">
        <s:v>1</s:v>
      </s:c>
      <s:c r="P6" s="34" t="n">
        <s:v>2.269061720111444</s:v>
      </s:c>
      <s:c r="Q6" s="34" t="n">
        <s:v>0.2755214328166348</s:v>
      </s:c>
      <s:c r="R6" s="33" t="n">
        <s:v>19</s:v>
      </s:c>
      <s:c r="S6" s="34" t="n">
        <s:v>0.27154759765625</s:v>
      </s:c>
      <s:c r="T6" s="34" t="n">
        <s:v>0.2881385253517567</s:v>
      </s:c>
      <s:c r="U6" s="34" t="n">
        <s:v>0.8868785094985048</s:v>
      </s:c>
      <s:c r="V6" s="34" t="n">
        <s:v>0.8029910671675121</s:v>
      </s:c>
      <s:c r="W6" s="33" t="n">
        <s:v>1.778565039999739</s:v>
      </s:c>
      <s:c r="X6" s="33" t="n">
        <s:v>159.4140625</s:v>
      </s:c>
      <s:c r="Y6" s="33" t="b">
        <s:v>0</s:v>
      </s:c>
      <s:c r="Z6" s="34" t="n"/>
      <s:c r="AA6" s="34" t="n"/>
      <s:c r="AB6" s="33" t="inlineStr">
        <s:is>
          <s:t>figures/clip-normal.png</s:t>
        </s:is>
      </s:c>
      <s:c r="AC6" s="33" t="inlineStr">
        <s:is>
          <s:t>One factor changed relative to baseline; fixed seed 1.; activation_std=[0.3904455602169037, 0.36608922481536865, 0.5759302377700806]; mean clip_fraction=0.9945667117834092</s:t>
        </s:is>
      </s:c>
      <s:c r="AD6" s="35">
        <s:f>IF(P6="","",P6-LN(7))</s:f>
        <s:v>0.32315157105613035</s:v>
      </s:c>
      <s:c r="AE6" s="35">
        <s:f>IF(OR(T6="",S6=""),"",T6-S6)</s:f>
        <s:v>0.016590927695506685</s:v>
      </s:c>
      <s:c r="AF6" s="35">
        <s:f>IF(OR(V6="",Seeds!$C$8=""),"",V6-Seeds!$C$8)</s:f>
        <s:v>-0.03758868277519711</s:v>
      </s:c>
      <s:c r="AG6" s="35" t="str">
        <s:f>IF(OR(AF6="",Seeds!$C$10=""),"",IF(ABS(AF6)&gt;Seeds!$C$10,"Có","Không"))</s:f>
        <s:v>C?</s:v>
      </s:c>
    </s:row>
    <s:row r="7" ht="15" customHeight="1" s="20">
      <s:c r="A7" s="33" t="inlineStr">
        <s:is>
          <s:t>drop-0.3</s:t>
        </s:is>
      </s:c>
      <s:c r="B7" s="33" t="inlineStr">
        <s:is>
          <s:t>dropout</s:t>
        </s:is>
      </s:c>
      <s:c r="C7" s="33" t="inlineStr">
        <s:is>
          <s:t>Controlled dropout comparison</s:t>
        </s:is>
      </s:c>
      <s:c r="D7" s="33" t="inlineStr">
        <s:is>
          <s:t>ce</s:t>
        </s:is>
      </s:c>
      <s:c r="E7" s="33" t="inlineStr">
        <s:is>
          <s:t>sgd_momentum</s:t>
        </s:is>
      </s:c>
      <s:c r="F7" s="33" t="n">
        <s:v>0.05</s:v>
      </s:c>
      <s:c r="G7" s="33" t="n">
        <s:v>0</s:v>
      </s:c>
      <s:c r="H7" s="33" t="n">
        <s:v>512</s:v>
      </s:c>
      <s:c r="I7" s="33" t="n">
        <s:v>20</s:v>
      </s:c>
      <s:c r="J7" s="33" t="inlineStr">
        <s:is>
          <s:t>256-128</s:t>
        </s:is>
      </s:c>
      <s:c r="K7" s="33" t="n">
        <s:v>0.3</s:v>
      </s:c>
      <s:c r="L7" s="33" t="inlineStr">
        <s:is>
          <s:t>none</s:t>
        </s:is>
      </s:c>
      <s:c r="M7" s="33" t="inlineStr">
        <s:is>
          <s:t>fp32</s:t>
        </s:is>
      </s:c>
      <s:c r="N7" s="33" t="inlineStr">
        <s:is>
          <s:t>he</s:t>
        </s:is>
      </s:c>
      <s:c r="O7" s="33" t="n">
        <s:v>1</s:v>
      </s:c>
      <s:c r="P7" s="34" t="n">
        <s:v>2.269061720111444</s:v>
      </s:c>
      <s:c r="Q7" s="34" t="n">
        <s:v>0.339193009475646</s:v>
      </s:c>
      <s:c r="R7" s="33" t="n">
        <s:v>20</s:v>
      </s:c>
      <s:c r="S7" s="34" t="n">
        <s:v>0.33637015625</s:v>
      </s:c>
      <s:c r="T7" s="34" t="n">
        <s:v>0.339193009475646</s:v>
      </s:c>
      <s:c r="U7" s="34" t="n">
        <s:v>0.8633635248811342</s:v>
      </s:c>
      <s:c r="V7" s="34" t="n">
        <s:v>0.7519379312918567</s:v>
      </s:c>
      <s:c r="W7" s="33" t="n">
        <s:v>1.962665460000608</s:v>
      </s:c>
      <s:c r="X7" s="33" t="n">
        <s:v>159.4140625</s:v>
      </s:c>
      <s:c r="Y7" s="33" t="b">
        <s:v>0</s:v>
      </s:c>
      <s:c r="Z7" s="34" t="n"/>
      <s:c r="AA7" s="34" t="n"/>
      <s:c r="AB7" s="33" t="inlineStr">
        <s:is>
          <s:t>figures/drop-0.3.png</s:t>
        </s:is>
      </s:c>
      <s:c r="AC7" s="33" t="inlineStr">
        <s:is>
          <s:t>One factor changed relative to baseline; fixed seed 1.; activation_std=[0.3904455602169037, 0.36608922481536865, 0.5759302377700806]; mean clip_fraction=0.0</s:t>
        </s:is>
      </s:c>
      <s:c r="AD7" s="35">
        <s:f>IF(P7="","",P7-LN(7))</s:f>
        <s:v>0.32315157105613035</s:v>
      </s:c>
      <s:c r="AE7" s="35">
        <s:f>IF(OR(T7="",S7=""),"",T7-S7)</s:f>
        <s:v>0.0028228532256459604</s:v>
      </s:c>
      <s:c r="AF7" s="35">
        <s:f>IF(OR(V7="",Seeds!$C$8=""),"",V7-Seeds!$C$8)</s:f>
        <s:v>-0.08864181865085252</s:v>
      </s:c>
      <s:c r="AG7" s="35" t="str">
        <s:f>IF(OR(AF7="",Seeds!$C$10=""),"",IF(ABS(AF7)&gt;Seeds!$C$10,"Có","Không"))</s:f>
        <s:v>C?</s:v>
      </s:c>
    </s:row>
    <s:row r="8" ht="15" customHeight="1" s="20">
      <s:c r="A8" s="33" t="inlineStr">
        <s:is>
          <s:t>final-s2</s:t>
        </s:is>
      </s:c>
      <s:c r="B8" s="33" t="inlineStr">
        <s:is>
          <s:t>final</s:t>
        </s:is>
      </s:c>
      <s:c r="C8" s="33" t="inlineStr">
        <s:is>
          <s:t>Replica of validation-selected final configuration</s:t>
        </s:is>
      </s:c>
      <s:c r="D8" s="33" t="inlineStr">
        <s:is>
          <s:t>ce</s:t>
        </s:is>
      </s:c>
      <s:c r="E8" s="33" t="inlineStr">
        <s:is>
          <s:t>adam</s:t>
        </s:is>
      </s:c>
      <s:c r="F8" s="33" t="n">
        <s:v>0.003</s:v>
      </s:c>
      <s:c r="G8" s="33" t="n">
        <s:v>0</s:v>
      </s:c>
      <s:c r="H8" s="33" t="n">
        <s:v>512</s:v>
      </s:c>
      <s:c r="I8" s="33" t="n">
        <s:v>20</s:v>
      </s:c>
      <s:c r="J8" s="33" t="inlineStr">
        <s:is>
          <s:t>256-128</s:t>
        </s:is>
      </s:c>
      <s:c r="K8" s="33" t="n">
        <s:v>0</s:v>
      </s:c>
      <s:c r="L8" s="33" t="inlineStr">
        <s:is>
          <s:t>none</s:t>
        </s:is>
      </s:c>
      <s:c r="M8" s="33" t="inlineStr">
        <s:is>
          <s:t>fp32</s:t>
        </s:is>
      </s:c>
      <s:c r="N8" s="33" t="inlineStr">
        <s:is>
          <s:t>he</s:t>
        </s:is>
      </s:c>
      <s:c r="O8" s="33" t="n">
        <s:v>2</s:v>
      </s:c>
      <s:c r="P8" s="34" t="n">
        <s:v>1.978156733396442</s:v>
      </s:c>
      <s:c r="Q8" s="34" t="n">
        <s:v>0.2058361212108173</s:v>
      </s:c>
      <s:c r="R8" s="33" t="n">
        <s:v>20</s:v>
      </s:c>
      <s:c r="S8" s="34" t="n">
        <s:v>0.17559869140625</s:v>
      </s:c>
      <s:c r="T8" s="34" t="n">
        <s:v>0.2058361212108173</s:v>
      </s:c>
      <s:c r="U8" s="34" t="n">
        <s:v>0.918074051763086</s:v>
      </s:c>
      <s:c r="V8" s="34" t="n">
        <s:v>0.8731931491257091</s:v>
      </s:c>
      <s:c r="W8" s="33" t="n">
        <s:v>8.296690490000582</s:v>
      </s:c>
      <s:c r="X8" s="33" t="n">
        <s:v>159.59716796875</s:v>
      </s:c>
      <s:c r="Y8" s="33" t="b">
        <s:v>0</s:v>
      </s:c>
      <s:c r="Z8" s="34" t="n">
        <s:v>0.9174289820400506</s:v>
      </s:c>
      <s:c r="AA8" s="34" t="n">
        <s:v>0.873140956658086</s:v>
      </s:c>
      <s:c r="AB8" s="33" t="inlineStr">
        <s:is>
          <s:t>figures/final-s2.png</s:t>
        </s:is>
      </s:c>
      <s:c r="AC8" s="33" t="inlineStr">
        <s:is>
          <s:t>Same selected config as search-adam-lr0.003; seed changed only. Not selected using eval.; activation_std=[0.40398284792900085, 0.40718355774879456, 0.5450341105461121]; mean clip_fraction=0.0</s:t>
        </s:is>
      </s:c>
      <s:c r="AD8" s="35">
        <s:f>IF(P8="","",P8-LN(7))</s:f>
        <s:v>0.03224658434112837</s:v>
      </s:c>
      <s:c r="AE8" s="35">
        <s:f>IF(OR(T8="",S8=""),"",T8-S8)</s:f>
        <s:v>0.030237429804567312</s:v>
      </s:c>
      <s:c r="AF8" s="35">
        <s:f>IF(OR(V8="",Seeds!$C$8=""),"",V8-Seeds!$C$8)</s:f>
        <s:v>0.03261339918299988</s:v>
      </s:c>
      <s:c r="AG8" s="35" t="str">
        <s:f>IF(OR(AF8="",Seeds!$C$10=""),"",IF(ABS(AF8)&gt;Seeds!$C$10,"Có","Không"))</s:f>
        <s:v>C?</s:v>
      </s:c>
    </s:row>
    <s:row r="9" ht="15" customHeight="1" s="20">
      <s:c r="A9" s="33" t="inlineStr">
        <s:is>
          <s:t>final-s3</s:t>
        </s:is>
      </s:c>
      <s:c r="B9" s="33" t="inlineStr">
        <s:is>
          <s:t>final</s:t>
        </s:is>
      </s:c>
      <s:c r="C9" s="33" t="inlineStr">
        <s:is>
          <s:t>Replica of validation-selected final configuration</s:t>
        </s:is>
      </s:c>
      <s:c r="D9" s="33" t="inlineStr">
        <s:is>
          <s:t>ce</s:t>
        </s:is>
      </s:c>
      <s:c r="E9" s="33" t="inlineStr">
        <s:is>
          <s:t>adam</s:t>
        </s:is>
      </s:c>
      <s:c r="F9" s="33" t="n">
        <s:v>0.003</s:v>
      </s:c>
      <s:c r="G9" s="33" t="n">
        <s:v>0</s:v>
      </s:c>
      <s:c r="H9" s="33" t="n">
        <s:v>512</s:v>
      </s:c>
      <s:c r="I9" s="33" t="n">
        <s:v>20</s:v>
      </s:c>
      <s:c r="J9" s="33" t="inlineStr">
        <s:is>
          <s:t>256-128</s:t>
        </s:is>
      </s:c>
      <s:c r="K9" s="33" t="n">
        <s:v>0</s:v>
      </s:c>
      <s:c r="L9" s="33" t="inlineStr">
        <s:is>
          <s:t>none</s:t>
        </s:is>
      </s:c>
      <s:c r="M9" s="33" t="inlineStr">
        <s:is>
          <s:t>fp32</s:t>
        </s:is>
      </s:c>
      <s:c r="N9" s="33" t="inlineStr">
        <s:is>
          <s:t>he</s:t>
        </s:is>
      </s:c>
      <s:c r="O9" s="33" t="n">
        <s:v>3</s:v>
      </s:c>
      <s:c r="P9" s="34" t="n">
        <s:v>1.900540005593683</s:v>
      </s:c>
      <s:c r="Q9" s="34" t="n">
        <s:v>0.2059301406421441</s:v>
      </s:c>
      <s:c r="R9" s="33" t="n">
        <s:v>20</s:v>
      </s:c>
      <s:c r="S9" s="34" t="n">
        <s:v>0.17591390625</s:v>
      </s:c>
      <s:c r="T9" s="34" t="n">
        <s:v>0.2059301406421441</s:v>
      </s:c>
      <s:c r="U9" s="34" t="n">
        <s:v>0.918601148856522</s:v>
      </s:c>
      <s:c r="V9" s="34" t="n">
        <s:v>0.8783049511110713</s:v>
      </s:c>
      <s:c r="W9" s="33" t="n">
        <s:v>6.958480339999914</s:v>
      </s:c>
      <s:c r="X9" s="33" t="n">
        <s:v>159.59716796875</s:v>
      </s:c>
      <s:c r="Y9" s="33" t="b">
        <s:v>0</s:v>
      </s:c>
      <s:c r="Z9" s="34" t="n">
        <s:v>0.9185477139144428</s:v>
      </s:c>
      <s:c r="AA9" s="34" t="n">
        <s:v>0.8825007191169142</s:v>
      </s:c>
      <s:c r="AB9" s="33" t="inlineStr">
        <s:is>
          <s:t>figures/final-s3.png</s:t>
        </s:is>
      </s:c>
      <s:c r="AC9" s="33" t="inlineStr">
        <s:is>
          <s:t>Same selected config as search-adam-lr0.003; seed changed only. Not selected using eval.; activation_std=[0.3927856683731079, 0.4206945300102234, 0.5369671583175659]; mean clip_fraction=0.0</s:t>
        </s:is>
      </s:c>
      <s:c r="AD9" s="35">
        <s:f>IF(P9="","",P9-LN(7))</s:f>
        <s:v>-0.04537014346162982</s:v>
      </s:c>
      <s:c r="AE9" s="35">
        <s:f>IF(OR(T9="",S9=""),"",T9-S9)</s:f>
        <s:v>0.030016234392144098</s:v>
      </s:c>
      <s:c r="AF9" s="35">
        <s:f>IF(OR(V9="",Seeds!$C$8=""),"",V9-Seeds!$C$8)</s:f>
        <s:v>0.03772520116836209</s:v>
      </s:c>
      <s:c r="AG9" s="35" t="str">
        <s:f>IF(OR(AF9="",Seeds!$C$10=""),"",IF(ABS(AF9)&gt;Seeds!$C$10,"Có","Không"))</s:f>
        <s:v>C?</s:v>
      </s:c>
    </s:row>
    <s:row r="10" ht="15" customHeight="1" s="20">
      <s:c r="A10" s="33" t="inlineStr">
        <s:is>
          <s:t>highlr-clip</s:t>
        </s:is>
      </s:c>
      <s:c r="B10" s="33" t="inlineStr">
        <s:is>
          <s:t>clipping</s:t>
        </s:is>
      </s:c>
      <s:c r="C10" s="33" t="inlineStr">
        <s:is>
          <s:t>Controlled clipping comparison</s:t>
        </s:is>
      </s:c>
      <s:c r="D10" s="33" t="inlineStr">
        <s:is>
          <s:t>ce</s:t>
        </s:is>
      </s:c>
      <s:c r="E10" s="33" t="inlineStr">
        <s:is>
          <s:t>sgd_momentum</s:t>
        </s:is>
      </s:c>
      <s:c r="F10" s="33" t="n">
        <s:v>0.5</s:v>
      </s:c>
      <s:c r="G10" s="33" t="n">
        <s:v>0</s:v>
      </s:c>
      <s:c r="H10" s="33" t="n">
        <s:v>512</s:v>
      </s:c>
      <s:c r="I10" s="33" t="n">
        <s:v>20</s:v>
      </s:c>
      <s:c r="J10" s="33" t="inlineStr">
        <s:is>
          <s:t>256-128</s:t>
        </s:is>
      </s:c>
      <s:c r="K10" s="33" t="n">
        <s:v>0</s:v>
      </s:c>
      <s:c r="L10" s="33" t="n">
        <s:v>0.3896930664777756</s:v>
      </s:c>
      <s:c r="M10" s="33" t="inlineStr">
        <s:is>
          <s:t>fp32</s:t>
        </s:is>
      </s:c>
      <s:c r="N10" s="33" t="inlineStr">
        <s:is>
          <s:t>he</s:t>
        </s:is>
      </s:c>
      <s:c r="O10" s="33" t="n">
        <s:v>1</s:v>
      </s:c>
      <s:c r="P10" s="34" t="n">
        <s:v>2.269061720111444</s:v>
      </s:c>
      <s:c r="Q10" s="34" t="n">
        <s:v>0.2353028404751404</s:v>
      </s:c>
      <s:c r="R10" s="33" t="n">
        <s:v>19</s:v>
      </s:c>
      <s:c r="S10" s="34" t="n">
        <s:v>0.21358861328125</s:v>
      </s:c>
      <s:c r="T10" s="34" t="n">
        <s:v>0.2430564286348185</s:v>
      </s:c>
      <s:c r="U10" s="34" t="n">
        <s:v>0.907015769884469</s:v>
      </s:c>
      <s:c r="V10" s="34" t="n">
        <s:v>0.8528610245312961</s:v>
      </s:c>
      <s:c r="W10" s="33" t="n">
        <s:v>1.682971644999998</s:v>
      </s:c>
      <s:c r="X10" s="33" t="n">
        <s:v>159.4140625</s:v>
      </s:c>
      <s:c r="Y10" s="33" t="b">
        <s:v>0</s:v>
      </s:c>
      <s:c r="Z10" s="34" t="n"/>
      <s:c r="AA10" s="34" t="n"/>
      <s:c r="AB10" s="33" t="inlineStr">
        <s:is>
          <s:t>figures/highlr-clip.png</s:t>
        </s:is>
      </s:c>
      <s:c r="AC10" s="33" t="inlineStr">
        <s:is>
          <s:t>High-lr clipping pair changes lr relative to baseline; clip is the only difference within the pair.; activation_std=[0.3904455602169037, 0.36608922481536865, 0.5759302377700806]; mean clip_fraction=0.01980742806917988</s:t>
        </s:is>
      </s:c>
      <s:c r="AD10" s="35">
        <s:f>IF(P10="","",P10-LN(7))</s:f>
        <s:v>0.32315157105613035</s:v>
      </s:c>
      <s:c r="AE10" s="35">
        <s:f>IF(OR(T10="",S10=""),"",T10-S10)</s:f>
        <s:v>0.029467815353568516</s:v>
      </s:c>
      <s:c r="AF10" s="35">
        <s:f>IF(OR(V10="",Seeds!$C$8=""),"",V10-Seeds!$C$8)</s:f>
        <s:v>0.012281274588586855</s:v>
      </s:c>
      <s:c r="AG10" s="35" t="str">
        <s:f>IF(OR(AF10="",Seeds!$C$10=""),"",IF(ABS(AF10)&gt;Seeds!$C$10,"Có","Không"))</s:f>
        <s:v>Kh?ng</s:v>
      </s:c>
    </s:row>
    <s:row r="11" ht="15" customHeight="1" s="20">
      <s:c r="A11" s="33" t="inlineStr">
        <s:is>
          <s:t>highlr-no-clip</s:t>
        </s:is>
      </s:c>
      <s:c r="B11" s="33" t="inlineStr">
        <s:is>
          <s:t>clipping</s:t>
        </s:is>
      </s:c>
      <s:c r="C11" s="33" t="inlineStr">
        <s:is>
          <s:t>Controlled clipping comparison</s:t>
        </s:is>
      </s:c>
      <s:c r="D11" s="33" t="inlineStr">
        <s:is>
          <s:t>ce</s:t>
        </s:is>
      </s:c>
      <s:c r="E11" s="33" t="inlineStr">
        <s:is>
          <s:t>sgd_momentum</s:t>
        </s:is>
      </s:c>
      <s:c r="F11" s="33" t="n">
        <s:v>0.5</s:v>
      </s:c>
      <s:c r="G11" s="33" t="n">
        <s:v>0</s:v>
      </s:c>
      <s:c r="H11" s="33" t="n">
        <s:v>512</s:v>
      </s:c>
      <s:c r="I11" s="33" t="n">
        <s:v>20</s:v>
      </s:c>
      <s:c r="J11" s="33" t="inlineStr">
        <s:is>
          <s:t>256-128</s:t>
        </s:is>
      </s:c>
      <s:c r="K11" s="33" t="n">
        <s:v>0</s:v>
      </s:c>
      <s:c r="L11" s="33" t="inlineStr">
        <s:is>
          <s:t>none</s:t>
        </s:is>
      </s:c>
      <s:c r="M11" s="33" t="inlineStr">
        <s:is>
          <s:t>fp32</s:t>
        </s:is>
      </s:c>
      <s:c r="N11" s="33" t="inlineStr">
        <s:is>
          <s:t>he</s:t>
        </s:is>
      </s:c>
      <s:c r="O11" s="33" t="n">
        <s:v>1</s:v>
      </s:c>
      <s:c r="P11" s="34" t="n">
        <s:v>2.269061720111444</s:v>
      </s:c>
      <s:c r="Q11" s="34" t="n">
        <s:v>0.2541441034038102</s:v>
      </s:c>
      <s:c r="R11" s="33" t="n">
        <s:v>19</s:v>
      </s:c>
      <s:c r="S11" s="34" t="n">
        <s:v>0.23674400390625</s:v>
      </s:c>
      <s:c r="T11" s="34" t="n">
        <s:v>0.2577782538160754</s:v>
      </s:c>
      <s:c r="U11" s="34" t="n">
        <s:v>0.8965383705169855</s:v>
      </s:c>
      <s:c r="V11" s="34" t="n">
        <s:v>0.8247501817280878</s:v>
      </s:c>
      <s:c r="W11" s="33" t="n">
        <s:v>1.781072860000131</s:v>
      </s:c>
      <s:c r="X11" s="33" t="n">
        <s:v>159.4140625</s:v>
      </s:c>
      <s:c r="Y11" s="33" t="b">
        <s:v>0</s:v>
      </s:c>
      <s:c r="Z11" s="34" t="n"/>
      <s:c r="AA11" s="34" t="n"/>
      <s:c r="AB11" s="33" t="inlineStr">
        <s:is>
          <s:t>figures/highlr-no-clip.png</s:t>
        </s:is>
      </s:c>
      <s:c r="AC11" s="33" t="inlineStr">
        <s:is>
          <s:t>High-lr clipping pair changes lr relative to baseline; clip is the only difference within the pair.; activation_std=[0.3904455602169037, 0.36608922481536865, 0.5759302377700806]; mean clip_fraction=0.0</s:t>
        </s:is>
      </s:c>
      <s:c r="AD11" s="35">
        <s:f>IF(P11="","",P11-LN(7))</s:f>
        <s:v>0.32315157105613035</s:v>
      </s:c>
      <s:c r="AE11" s="35">
        <s:f>IF(OR(T11="",S11=""),"",T11-S11)</s:f>
        <s:v>0.021034249909825387</s:v>
      </s:c>
      <s:c r="AF11" s="35">
        <s:f>IF(OR(V11="",Seeds!$C$8=""),"",V11-Seeds!$C$8)</s:f>
        <s:v>-0.015829568214621448</s:v>
      </s:c>
      <s:c r="AG11" s="35" t="str">
        <s:f>IF(OR(AF11="",Seeds!$C$10=""),"",IF(ABS(AF11)&gt;Seeds!$C$10,"Có","Không"))</s:f>
        <s:v>C?</s:v>
      </s:c>
    </s:row>
    <s:row r="12" ht="15" customHeight="1" s="20">
      <s:c r="A12" s="33" t="inlineStr">
        <s:is>
          <s:t>init-normal</s:t>
        </s:is>
      </s:c>
      <s:c r="B12" s="33" t="inlineStr">
        <s:is>
          <s:t>init</s:t>
        </s:is>
      </s:c>
      <s:c r="C12" s="33" t="inlineStr">
        <s:is>
          <s:t>Controlled init comparison</s:t>
        </s:is>
      </s:c>
      <s:c r="D12" s="33" t="inlineStr">
        <s:is>
          <s:t>ce</s:t>
        </s:is>
      </s:c>
      <s:c r="E12" s="33" t="inlineStr">
        <s:is>
          <s:t>sgd_momentum</s:t>
        </s:is>
      </s:c>
      <s:c r="F12" s="33" t="n">
        <s:v>0.05</s:v>
      </s:c>
      <s:c r="G12" s="33" t="n">
        <s:v>0</s:v>
      </s:c>
      <s:c r="H12" s="33" t="n">
        <s:v>512</s:v>
      </s:c>
      <s:c r="I12" s="33" t="n">
        <s:v>20</s:v>
      </s:c>
      <s:c r="J12" s="33" t="inlineStr">
        <s:is>
          <s:t>256-128</s:t>
        </s:is>
      </s:c>
      <s:c r="K12" s="33" t="n">
        <s:v>0</s:v>
      </s:c>
      <s:c r="L12" s="33" t="inlineStr">
        <s:is>
          <s:t>none</s:t>
        </s:is>
      </s:c>
      <s:c r="M12" s="33" t="inlineStr">
        <s:is>
          <s:t>fp32</s:t>
        </s:is>
      </s:c>
      <s:c r="N12" s="33" t="inlineStr">
        <s:is>
          <s:t>normal</s:t>
        </s:is>
      </s:c>
      <s:c r="O12" s="33" t="n">
        <s:v>1</s:v>
      </s:c>
      <s:c r="P12" s="34" t="n">
        <s:v>1.945995742884189</s:v>
      </s:c>
      <s:c r="Q12" s="34" t="n">
        <s:v>0.2716584632699383</s:v>
      </s:c>
      <s:c r="R12" s="33" t="n">
        <s:v>20</s:v>
      </s:c>
      <s:c r="S12" s="34" t="n">
        <s:v>0.2547287109375</s:v>
      </s:c>
      <s:c r="T12" s="34" t="n">
        <s:v>0.2716584632699383</s:v>
      </s:c>
      <s:c r="U12" s="34" t="n">
        <s:v>0.8899012499731073</s:v>
      </s:c>
      <s:c r="V12" s="34" t="n">
        <s:v>0.814217269828112</s:v>
      </s:c>
      <s:c r="W12" s="33" t="n">
        <s:v>1.706292055000267</s:v>
      </s:c>
      <s:c r="X12" s="33" t="n">
        <s:v>159.4140625</s:v>
      </s:c>
      <s:c r="Y12" s="33" t="b">
        <s:v>0</s:v>
      </s:c>
      <s:c r="Z12" s="34" t="n"/>
      <s:c r="AA12" s="34" t="n"/>
      <s:c r="AB12" s="33" t="inlineStr">
        <s:is>
          <s:t>figures/init-normal.png</s:t>
        </s:is>
      </s:c>
      <s:c r="AC12" s="33" t="inlineStr">
        <s:is>
          <s:t>One factor changed relative to baseline; fixed seed 1.; activation_std=[0.020288147032260895, 0.0021521563176065683, 0.0002708611136768013]; mean clip_fraction=0.0</s:t>
        </s:is>
      </s:c>
      <s:c r="AD12" s="35">
        <s:f>IF(P12="","",P12-LN(7))</s:f>
        <s:v>8.559382887596279e-05</s:v>
      </s:c>
      <s:c r="AE12" s="35">
        <s:f>IF(OR(T12="",S12=""),"",T12-S12)</s:f>
        <s:v>0.016929752332438264</s:v>
      </s:c>
      <s:c r="AF12" s="35">
        <s:f>IF(OR(V12="",Seeds!$C$8=""),"",V12-Seeds!$C$8)</s:f>
        <s:v>-0.026362480114597187</s:v>
      </s:c>
      <s:c r="AG12" s="35" t="str">
        <s:f>IF(OR(AF12="",Seeds!$C$10=""),"",IF(ABS(AF12)&gt;Seeds!$C$10,"Có","Không"))</s:f>
        <s:v>C?</s:v>
      </s:c>
    </s:row>
    <s:row r="13" ht="15" customHeight="1" s="20">
      <s:c r="A13" s="33" t="inlineStr">
        <s:is>
          <s:t>init-xavier</s:t>
        </s:is>
      </s:c>
      <s:c r="B13" s="33" t="inlineStr">
        <s:is>
          <s:t>init</s:t>
        </s:is>
      </s:c>
      <s:c r="C13" s="33" t="inlineStr">
        <s:is>
          <s:t>Controlled init comparison</s:t>
        </s:is>
      </s:c>
      <s:c r="D13" s="33" t="inlineStr">
        <s:is>
          <s:t>ce</s:t>
        </s:is>
      </s:c>
      <s:c r="E13" s="33" t="inlineStr">
        <s:is>
          <s:t>sgd_momentum</s:t>
        </s:is>
      </s:c>
      <s:c r="F13" s="33" t="n">
        <s:v>0.05</s:v>
      </s:c>
      <s:c r="G13" s="33" t="n">
        <s:v>0</s:v>
      </s:c>
      <s:c r="H13" s="33" t="n">
        <s:v>512</s:v>
      </s:c>
      <s:c r="I13" s="33" t="n">
        <s:v>20</s:v>
      </s:c>
      <s:c r="J13" s="33" t="inlineStr">
        <s:is>
          <s:t>256-128</s:t>
        </s:is>
      </s:c>
      <s:c r="K13" s="33" t="n">
        <s:v>0</s:v>
      </s:c>
      <s:c r="L13" s="33" t="inlineStr">
        <s:is>
          <s:t>none</s:t>
        </s:is>
      </s:c>
      <s:c r="M13" s="33" t="inlineStr">
        <s:is>
          <s:t>fp32</s:t>
        </s:is>
      </s:c>
      <s:c r="N13" s="33" t="inlineStr">
        <s:is>
          <s:t>xavier</s:t>
        </s:is>
      </s:c>
      <s:c r="O13" s="33" t="n">
        <s:v>1</s:v>
      </s:c>
      <s:c r="P13" s="34" t="n">
        <s:v>2.022176400034422</s:v>
      </s:c>
      <s:c r="Q13" s="34" t="n">
        <s:v>0.2472824917708311</s:v>
      </s:c>
      <s:c r="R13" s="33" t="n">
        <s:v>19</s:v>
      </s:c>
      <s:c r="S13" s="34" t="n">
        <s:v>0.24698185546875</s:v>
      </s:c>
      <s:c r="T13" s="34" t="n">
        <s:v>0.2649926641732643</s:v>
      </s:c>
      <s:c r="U13" s="34" t="n">
        <s:v>0.899184613067705</s:v>
      </s:c>
      <s:c r="V13" s="34" t="n">
        <s:v>0.8317874851249659</s:v>
      </s:c>
      <s:c r="W13" s="33" t="n">
        <s:v>1.687173455000084</s:v>
      </s:c>
      <s:c r="X13" s="33" t="n">
        <s:v>159.4140625</s:v>
      </s:c>
      <s:c r="Y13" s="33" t="b">
        <s:v>0</s:v>
      </s:c>
      <s:c r="Z13" s="34" t="n"/>
      <s:c r="AA13" s="34" t="n"/>
      <s:c r="AB13" s="33" t="inlineStr">
        <s:is>
          <s:t>figures/init-xavier.png</s:t>
        </s:is>
      </s:c>
      <s:c r="AC13" s="33" t="inlineStr">
        <s:is>
          <s:t>One factor changed relative to baseline; fixed seed 1.; activation_std=[0.1629583090543747, 0.12475481629371643, 0.19110776484012604]; mean clip_fraction=0.0</s:t>
        </s:is>
      </s:c>
      <s:c r="AD13" s="35">
        <s:f>IF(P13="","",P13-LN(7))</s:f>
        <s:v>0.07626625097910922</s:v>
      </s:c>
      <s:c r="AE13" s="35">
        <s:f>IF(OR(T13="",S13=""),"",T13-S13)</s:f>
        <s:v>0.018010808704514325</s:v>
      </s:c>
      <s:c r="AF13" s="35">
        <s:f>IF(OR(V13="",Seeds!$C$8=""),"",V13-Seeds!$C$8)</s:f>
        <s:v>-0.008792264817743312</s:v>
      </s:c>
      <s:c r="AG13" s="35" t="str">
        <s:f>IF(OR(AF13="",Seeds!$C$10=""),"",IF(ABS(AF13)&gt;Seeds!$C$10,"Có","Không"))</s:f>
        <s:v>Kh?ng</s:v>
      </s:c>
    </s:row>
    <s:row r="14" ht="15" customHeight="1" s="20">
      <s:c r="A14" s="33" t="inlineStr">
        <s:is>
          <s:t>init-zeros</s:t>
        </s:is>
      </s:c>
      <s:c r="B14" s="33" t="inlineStr">
        <s:is>
          <s:t>init</s:t>
        </s:is>
      </s:c>
      <s:c r="C14" s="33" t="inlineStr">
        <s:is>
          <s:t>Controlled init comparison</s:t>
        </s:is>
      </s:c>
      <s:c r="D14" s="33" t="inlineStr">
        <s:is>
          <s:t>ce</s:t>
        </s:is>
      </s:c>
      <s:c r="E14" s="33" t="inlineStr">
        <s:is>
          <s:t>sgd_momentum</s:t>
        </s:is>
      </s:c>
      <s:c r="F14" s="33" t="n">
        <s:v>0.05</s:v>
      </s:c>
      <s:c r="G14" s="33" t="n">
        <s:v>0</s:v>
      </s:c>
      <s:c r="H14" s="33" t="n">
        <s:v>512</s:v>
      </s:c>
      <s:c r="I14" s="33" t="n">
        <s:v>20</s:v>
      </s:c>
      <s:c r="J14" s="33" t="inlineStr">
        <s:is>
          <s:t>256-128</s:t>
        </s:is>
      </s:c>
      <s:c r="K14" s="33" t="n">
        <s:v>0</s:v>
      </s:c>
      <s:c r="L14" s="33" t="inlineStr">
        <s:is>
          <s:t>none</s:t>
        </s:is>
      </s:c>
      <s:c r="M14" s="33" t="inlineStr">
        <s:is>
          <s:t>fp32</s:t>
        </s:is>
      </s:c>
      <s:c r="N14" s="33" t="inlineStr">
        <s:is>
          <s:t>zeros</s:t>
        </s:is>
      </s:c>
      <s:c r="O14" s="33" t="n">
        <s:v>1</s:v>
      </s:c>
      <s:c r="P14" s="34" t="n">
        <s:v>1.945915232837073</s:v>
      </s:c>
      <s:c r="Q14" s="34" t="n">
        <s:v>1.205177081764592</s:v>
      </s:c>
      <s:c r="R14" s="33" t="n">
        <s:v>8</s:v>
      </s:c>
      <s:c r="S14" s="34" t="n">
        <s:v>1.2018715625</s:v>
      </s:c>
      <s:c r="T14" s="34" t="n">
        <s:v>1.205293981008369</s:v>
      </s:c>
      <s:c r="U14" s="34" t="n">
        <s:v>0.4875970826789441</s:v>
      </s:c>
      <s:c r="V14" s="34" t="n">
        <s:v>0.09364999018625456</s:v>
      </s:c>
      <s:c r="W14" s="33" t="n">
        <s:v>1.71121166999983</s:v>
      </s:c>
      <s:c r="X14" s="33" t="n">
        <s:v>159.4140625</s:v>
      </s:c>
      <s:c r="Y14" s="33" t="b">
        <s:v>0</s:v>
      </s:c>
      <s:c r="Z14" s="34" t="n"/>
      <s:c r="AA14" s="34" t="n"/>
      <s:c r="AB14" s="33" t="inlineStr">
        <s:is>
          <s:t>figures/init-zeros.png</s:t>
        </s:is>
      </s:c>
      <s:c r="AC14" s="33" t="inlineStr">
        <s:is>
          <s:t>One factor changed relative to baseline; fixed seed 1.; activation_std=[0.0, 0.0, 0.0]; mean clip_fraction=0.0</s:t>
        </s:is>
      </s:c>
      <s:c r="AD14" s="35">
        <s:f>IF(P14="","",P14-LN(7))</s:f>
        <s:v>5.0837817600069e-06</s:v>
      </s:c>
      <s:c r="AE14" s="35">
        <s:f>IF(OR(T14="",S14=""),"",T14-S14)</s:f>
        <s:v>0.003422418508368885</s:v>
      </s:c>
      <s:c r="AF14" s="35">
        <s:f>IF(OR(V14="",Seeds!$C$8=""),"",V14-Seeds!$C$8)</s:f>
        <s:v>-0.7469297597564547</s:v>
      </s:c>
      <s:c r="AG14" s="35" t="str">
        <s:f>IF(OR(AF14="",Seeds!$C$10=""),"",IF(ABS(AF14)&gt;Seeds!$C$10,"Có","Không"))</s:f>
        <s:v>C?</s:v>
      </s:c>
    </s:row>
    <s:row r="15" ht="15" customHeight="1" s="20">
      <s:c r="A15" s="33" t="inlineStr">
        <s:is>
          <s:t>loss-mse</s:t>
        </s:is>
      </s:c>
      <s:c r="B15" s="33" t="inlineStr">
        <s:is>
          <s:t>loss</s:t>
        </s:is>
      </s:c>
      <s:c r="C15" s="33" t="inlineStr">
        <s:is>
          <s:t>Controlled loss comparison</s:t>
        </s:is>
      </s:c>
      <s:c r="D15" s="33" t="inlineStr">
        <s:is>
          <s:t>mse</s:t>
        </s:is>
      </s:c>
      <s:c r="E15" s="33" t="inlineStr">
        <s:is>
          <s:t>sgd_momentum</s:t>
        </s:is>
      </s:c>
      <s:c r="F15" s="33" t="n">
        <s:v>0.05</s:v>
      </s:c>
      <s:c r="G15" s="33" t="n">
        <s:v>0</s:v>
      </s:c>
      <s:c r="H15" s="33" t="n">
        <s:v>512</s:v>
      </s:c>
      <s:c r="I15" s="33" t="n">
        <s:v>20</s:v>
      </s:c>
      <s:c r="J15" s="33" t="inlineStr">
        <s:is>
          <s:t>256-128</s:t>
        </s:is>
      </s:c>
      <s:c r="K15" s="33" t="n">
        <s:v>0</s:v>
      </s:c>
      <s:c r="L15" s="33" t="inlineStr">
        <s:is>
          <s:t>none</s:t>
        </s:is>
      </s:c>
      <s:c r="M15" s="33" t="inlineStr">
        <s:is>
          <s:t>fp32</s:t>
        </s:is>
      </s:c>
      <s:c r="N15" s="33" t="inlineStr">
        <s:is>
          <s:t>he</s:t>
        </s:is>
      </s:c>
      <s:c r="O15" s="33" t="n">
        <s:v>1</s:v>
      </s:c>
      <s:c r="P15" s="34" t="n">
        <s:v>0.6358504096431875</s:v>
      </s:c>
      <s:c r="Q15" s="34" t="n">
        <s:v>0.03243981065095819</s:v>
      </s:c>
      <s:c r="R15" s="33" t="n">
        <s:v>20</s:v>
      </s:c>
      <s:c r="S15" s="34" t="n">
        <s:v>0.03191442626953125</s:v>
      </s:c>
      <s:c r="T15" s="34" t="n">
        <s:v>0.03243981065095819</s:v>
      </s:c>
      <s:c r="U15" s="34" t="n">
        <s:v>0.8549837568038553</s:v>
      </s:c>
      <s:c r="V15" s="34" t="n">
        <s:v>0.6911161276216683</s:v>
      </s:c>
      <s:c r="W15" s="33" t="n">
        <s:v>2.076342294999995</s:v>
      </s:c>
      <s:c r="X15" s="33" t="n">
        <s:v>159.41748046875</s:v>
      </s:c>
      <s:c r="Y15" s="33" t="b">
        <s:v>0</s:v>
      </s:c>
      <s:c r="Z15" s="34" t="n"/>
      <s:c r="AA15" s="34" t="n"/>
      <s:c r="AB15" s="33" t="inlineStr">
        <s:is>
          <s:t>figures/loss-mse.png</s:t>
        </s:is>
      </s:c>
      <s:c r="AC15" s="33" t="inlineStr">
        <s:is>
          <s:t>One factor changed relative to baseline; fixed seed 1.; activation_std=[0.3904455602169037, 0.36608922481536865, 0.5759302377700806]; mean clip_fraction=0.0</s:t>
        </s:is>
      </s:c>
      <s:c r="AD15" s="35">
        <s:f>IF(P15="","",P15-LN(7))</s:f>
        <s:v>-1.3100597394121256</s:v>
      </s:c>
      <s:c r="AE15" s="35">
        <s:f>IF(OR(T15="",S15=""),"",T15-S15)</s:f>
        <s:v>0.0005253843814269424</s:v>
      </s:c>
      <s:c r="AF15" s="35">
        <s:f>IF(OR(V15="",Seeds!$C$8=""),"",V15-Seeds!$C$8)</s:f>
        <s:v>-0.14946362232104093</s:v>
      </s:c>
      <s:c r="AG15" s="35" t="str">
        <s:f>IF(OR(AF15="",Seeds!$C$10=""),"",IF(ABS(AF15)&gt;Seeds!$C$10,"Có","Không"))</s:f>
        <s:v>C?</s:v>
      </s:c>
    </s:row>
    <s:row r="16" ht="15" customHeight="1" s="20">
      <s:c r="A16" s="33" t="inlineStr">
        <s:is>
          <s:t>search-adam-lr0.0003</s:t>
        </s:is>
      </s:c>
      <s:c r="B16" s="33" t="inlineStr">
        <s:is>
          <s:t>optimizer</s:t>
        </s:is>
      </s:c>
      <s:c r="C16" s="33" t="inlineStr">
        <s:is>
          <s:t>Validation LR search: adam, lr=0.0003</s:t>
        </s:is>
      </s:c>
      <s:c r="D16" s="33" t="inlineStr">
        <s:is>
          <s:t>ce</s:t>
        </s:is>
      </s:c>
      <s:c r="E16" s="33" t="inlineStr">
        <s:is>
          <s:t>adam</s:t>
        </s:is>
      </s:c>
      <s:c r="F16" s="33" t="n">
        <s:v>0.0003</s:v>
      </s:c>
      <s:c r="G16" s="33" t="n">
        <s:v>0</s:v>
      </s:c>
      <s:c r="H16" s="33" t="n">
        <s:v>512</s:v>
      </s:c>
      <s:c r="I16" s="33" t="n">
        <s:v>20</s:v>
      </s:c>
      <s:c r="J16" s="33" t="inlineStr">
        <s:is>
          <s:t>256-128</s:t>
        </s:is>
      </s:c>
      <s:c r="K16" s="33" t="n">
        <s:v>0</s:v>
      </s:c>
      <s:c r="L16" s="33" t="inlineStr">
        <s:is>
          <s:t>none</s:t>
        </s:is>
      </s:c>
      <s:c r="M16" s="33" t="inlineStr">
        <s:is>
          <s:t>fp32</s:t>
        </s:is>
      </s:c>
      <s:c r="N16" s="33" t="inlineStr">
        <s:is>
          <s:t>he</s:t>
        </s:is>
      </s:c>
      <s:c r="O16" s="33" t="n">
        <s:v>1</s:v>
      </s:c>
      <s:c r="P16" s="34" t="n">
        <s:v>2.269061720111444</s:v>
      </s:c>
      <s:c r="Q16" s="34" t="n">
        <s:v>0.3116701078128698</s:v>
      </s:c>
      <s:c r="R16" s="33" t="n">
        <s:v>20</s:v>
      </s:c>
      <s:c r="S16" s="34" t="n">
        <s:v>0.3009397265625</s:v>
      </s:c>
      <s:c r="T16" s="34" t="n">
        <s:v>0.3116701078128698</s:v>
      </s:c>
      <s:c r="U16" s="34" t="n">
        <s:v>0.8728512725629827</s:v>
      </s:c>
      <s:c r="V16" s="34" t="n">
        <s:v>0.7794388740826089</s:v>
      </s:c>
      <s:c r="W16" s="33" t="n">
        <s:v>1.960942555000202</s:v>
      </s:c>
      <s:c r="X16" s="33" t="n">
        <s:v>161.42578125</s:v>
      </s:c>
      <s:c r="Y16" s="33" t="b">
        <s:v>0</s:v>
      </s:c>
      <s:c r="Z16" s="34" t="n"/>
      <s:c r="AA16" s="34" t="n"/>
      <s:c r="AB16" s="33" t="inlineStr">
        <s:is>
          <s:t>figures/search-adam-lr0.0003.png</s:t>
        </s:is>
      </s:c>
      <s:c r="AC16" s="33" t="inlineStr">
        <s:is>
          <s:t>20 epochs; optimizer and its learning rate calibrated together; fixed seed 1.; activation_std=[0.3904455602169037, 0.36608922481536865, 0.5759302377700806]; mean clip_fraction=0.0</s:t>
        </s:is>
      </s:c>
      <s:c r="AD16" s="35">
        <s:f>IF(P16="","",P16-LN(7))</s:f>
        <s:v>0.32315157105613035</s:v>
      </s:c>
      <s:c r="AE16" s="35">
        <s:f>IF(OR(T16="",S16=""),"",T16-S16)</s:f>
        <s:v>0.010730381250369792</s:v>
      </s:c>
      <s:c r="AF16" s="35">
        <s:f>IF(OR(V16="",Seeds!$C$8=""),"",V16-Seeds!$C$8)</s:f>
        <s:v>-0.06114087586010031</s:v>
      </s:c>
      <s:c r="AG16" s="35" t="str">
        <s:f>IF(OR(AF16="",Seeds!$C$10=""),"",IF(ABS(AF16)&gt;Seeds!$C$10,"Có","Không"))</s:f>
        <s:v>C?</s:v>
      </s:c>
    </s:row>
    <s:row r="17" ht="15" customHeight="1" s="20">
      <s:c r="A17" s="33" t="inlineStr">
        <s:is>
          <s:t>search-adam-lr0.001</s:t>
        </s:is>
      </s:c>
      <s:c r="B17" s="33" t="inlineStr">
        <s:is>
          <s:t>optimizer</s:t>
        </s:is>
      </s:c>
      <s:c r="C17" s="33" t="inlineStr">
        <s:is>
          <s:t>Validation LR search: adam, lr=0.001</s:t>
        </s:is>
      </s:c>
      <s:c r="D17" s="33" t="inlineStr">
        <s:is>
          <s:t>ce</s:t>
        </s:is>
      </s:c>
      <s:c r="E17" s="33" t="inlineStr">
        <s:is>
          <s:t>adam</s:t>
        </s:is>
      </s:c>
      <s:c r="F17" s="33" t="n">
        <s:v>0.001</s:v>
      </s:c>
      <s:c r="G17" s="33" t="n">
        <s:v>0</s:v>
      </s:c>
      <s:c r="H17" s="33" t="n">
        <s:v>512</s:v>
      </s:c>
      <s:c r="I17" s="33" t="n">
        <s:v>20</s:v>
      </s:c>
      <s:c r="J17" s="33" t="inlineStr">
        <s:is>
          <s:t>256-128</s:t>
        </s:is>
      </s:c>
      <s:c r="K17" s="33" t="n">
        <s:v>0</s:v>
      </s:c>
      <s:c r="L17" s="33" t="inlineStr">
        <s:is>
          <s:t>none</s:t>
        </s:is>
      </s:c>
      <s:c r="M17" s="33" t="inlineStr">
        <s:is>
          <s:t>fp32</s:t>
        </s:is>
      </s:c>
      <s:c r="N17" s="33" t="inlineStr">
        <s:is>
          <s:t>he</s:t>
        </s:is>
      </s:c>
      <s:c r="O17" s="33" t="n">
        <s:v>1</s:v>
      </s:c>
      <s:c r="P17" s="34" t="n">
        <s:v>2.269061720111444</s:v>
      </s:c>
      <s:c r="Q17" s="34" t="n">
        <s:v>0.2415580845533659</s:v>
      </s:c>
      <s:c r="R17" s="33" t="n">
        <s:v>20</s:v>
      </s:c>
      <s:c r="S17" s="34" t="n">
        <s:v>0.22378642578125</s:v>
      </s:c>
      <s:c r="T17" s="34" t="n">
        <s:v>0.2415580845533659</s:v>
      </s:c>
      <s:c r="U17" s="34" t="n">
        <s:v>0.9041866569135776</s:v>
      </s:c>
      <s:c r="V17" s="34" t="n">
        <s:v>0.8477076724912483</s:v>
      </s:c>
      <s:c r="W17" s="33" t="n">
        <s:v>169.0713765200001</s:v>
      </s:c>
      <s:c r="X17" s="33" t="n">
        <s:v>160.1240234375</s:v>
      </s:c>
      <s:c r="Y17" s="33" t="b">
        <s:v>0</s:v>
      </s:c>
      <s:c r="Z17" s="34" t="n"/>
      <s:c r="AA17" s="34" t="n"/>
      <s:c r="AB17" s="33" t="inlineStr">
        <s:is>
          <s:t>figures/search-adam-lr0.001.png</s:t>
        </s:is>
      </s:c>
      <s:c r="AC17" s="33" t="inlineStr">
        <s:is>
          <s:t>20 epochs; optimizer and its learning rate calibrated together; fixed seed 1.; Timing outlier: max epoch 3344.742s, median 1.922s; arithmetic mean retained, do not infer optimizer speed from this run.; activation_std=[0.3904455602169037, 0.36608922481536865, 0.5759302377700806]; mean clip_fraction=0.0</s:t>
        </s:is>
      </s:c>
      <s:c r="AD17" s="35">
        <s:f>IF(P17="","",P17-LN(7))</s:f>
        <s:v>0.32315157105613035</s:v>
      </s:c>
      <s:c r="AE17" s="35">
        <s:f>IF(OR(T17="",S17=""),"",T17-S17)</s:f>
        <s:v>0.017771658772115895</s:v>
      </s:c>
      <s:c r="AF17" s="35">
        <s:f>IF(OR(V17="",Seeds!$C$8=""),"",V17-Seeds!$C$8)</s:f>
        <s:v>0.007127922548539112</s:v>
      </s:c>
      <s:c r="AG17" s="35" t="str">
        <s:f>IF(OR(AF17="",Seeds!$C$10=""),"",IF(ABS(AF17)&gt;Seeds!$C$10,"Có","Không"))</s:f>
        <s:v>Kh?ng</s:v>
      </s:c>
    </s:row>
    <s:row r="18" ht="15" customHeight="1" s="20">
      <s:c r="A18" s="33" t="inlineStr">
        <s:is>
          <s:t>search-adam-lr0.003</s:t>
        </s:is>
      </s:c>
      <s:c r="B18" s="33" t="inlineStr">
        <s:is>
          <s:t>optimizer</s:t>
        </s:is>
      </s:c>
      <s:c r="C18" s="33" t="inlineStr">
        <s:is>
          <s:t>Validation LR search: adam, lr=0.003</s:t>
        </s:is>
      </s:c>
      <s:c r="D18" s="33" t="inlineStr">
        <s:is>
          <s:t>ce</s:t>
        </s:is>
      </s:c>
      <s:c r="E18" s="33" t="inlineStr">
        <s:is>
          <s:t>adam</s:t>
        </s:is>
      </s:c>
      <s:c r="F18" s="33" t="n">
        <s:v>0.003</s:v>
      </s:c>
      <s:c r="G18" s="33" t="n">
        <s:v>0</s:v>
      </s:c>
      <s:c r="H18" s="33" t="n">
        <s:v>512</s:v>
      </s:c>
      <s:c r="I18" s="33" t="n">
        <s:v>20</s:v>
      </s:c>
      <s:c r="J18" s="33" t="inlineStr">
        <s:is>
          <s:t>256-128</s:t>
        </s:is>
      </s:c>
      <s:c r="K18" s="33" t="n">
        <s:v>0</s:v>
      </s:c>
      <s:c r="L18" s="33" t="inlineStr">
        <s:is>
          <s:t>none</s:t>
        </s:is>
      </s:c>
      <s:c r="M18" s="33" t="inlineStr">
        <s:is>
          <s:t>fp32</s:t>
        </s:is>
      </s:c>
      <s:c r="N18" s="33" t="inlineStr">
        <s:is>
          <s:t>he</s:t>
        </s:is>
      </s:c>
      <s:c r="O18" s="33" t="n">
        <s:v>1</s:v>
      </s:c>
      <s:c r="P18" s="34" t="n">
        <s:v>2.269061720111444</s:v>
      </s:c>
      <s:c r="Q18" s="34" t="n">
        <s:v>0.2112856345200189</s:v>
      </s:c>
      <s:c r="R18" s="33" t="n">
        <s:v>20</s:v>
      </s:c>
      <s:c r="S18" s="34" t="n">
        <s:v>0.183360859375</s:v>
      </s:c>
      <s:c r="T18" s="34" t="n">
        <s:v>0.2112856345200189</s:v>
      </s:c>
      <s:c r="U18" s="34" t="n">
        <s:v>0.9166110884017126</s:v>
      </s:c>
      <s:c r="V18" s="34" t="n">
        <s:v>0.8656473274358131</s:v>
      </s:c>
      <s:c r="W18" s="33" t="n">
        <s:v>2.505298550000589</s:v>
      </s:c>
      <s:c r="X18" s="33" t="n">
        <s:v>160.1240234375</s:v>
      </s:c>
      <s:c r="Y18" s="33" t="b">
        <s:v>0</s:v>
      </s:c>
      <s:c r="Z18" s="34" t="n">
        <s:v>0.9149591662865847</s:v>
      </s:c>
      <s:c r="AA18" s="34" t="n">
        <s:v>0.8639753256014941</s:v>
      </s:c>
      <s:c r="AB18" s="33" t="inlineStr">
        <s:is>
          <s:t>figures/search-adam-lr0.003.png</s:t>
        </s:is>
      </s:c>
      <s:c r="AC18" s="33" t="inlineStr">
        <s:is>
          <s:t>20 epochs; optimizer and its learning rate calibrated together; fixed seed 1.; activation_std=[0.3904455602169037, 0.36608922481536865, 0.5759302377700806]; mean clip_fraction=0.0</s:t>
        </s:is>
      </s:c>
      <s:c r="AD18" s="35">
        <s:f>IF(P18="","",P18-LN(7))</s:f>
        <s:v>0.32315157105613035</s:v>
      </s:c>
      <s:c r="AE18" s="35">
        <s:f>IF(OR(T18="",S18=""),"",T18-S18)</s:f>
        <s:v>0.027924775145018954</s:v>
      </s:c>
      <s:c r="AF18" s="35">
        <s:f>IF(OR(V18="",Seeds!$C$8=""),"",V18-Seeds!$C$8)</s:f>
        <s:v>0.025067577493103843</s:v>
      </s:c>
      <s:c r="AG18" s="35" t="str">
        <s:f>IF(OR(AF18="",Seeds!$C$10=""),"",IF(ABS(AF18)&gt;Seeds!$C$10,"Có","Không"))</s:f>
        <s:v>C?</s:v>
      </s:c>
    </s:row>
    <s:row r="19" ht="15" customHeight="1" s="20">
      <s:c r="A19" s="33" t="inlineStr">
        <s:is>
          <s:t>search-sgd_momentum-lr0.01</s:t>
        </s:is>
      </s:c>
      <s:c r="B19" s="33" t="inlineStr">
        <s:is>
          <s:t>optimizer</s:t>
        </s:is>
      </s:c>
      <s:c r="C19" s="33" t="inlineStr">
        <s:is>
          <s:t>Validation LR search: sgd_momentum, lr=0.01</s:t>
        </s:is>
      </s:c>
      <s:c r="D19" s="33" t="inlineStr">
        <s:is>
          <s:t>ce</s:t>
        </s:is>
      </s:c>
      <s:c r="E19" s="33" t="inlineStr">
        <s:is>
          <s:t>sgd_momentum</s:t>
        </s:is>
      </s:c>
      <s:c r="F19" s="33" t="n">
        <s:v>0.01</s:v>
      </s:c>
      <s:c r="G19" s="33" t="n">
        <s:v>0</s:v>
      </s:c>
      <s:c r="H19" s="33" t="n">
        <s:v>512</s:v>
      </s:c>
      <s:c r="I19" s="33" t="n">
        <s:v>20</s:v>
      </s:c>
      <s:c r="J19" s="33" t="inlineStr">
        <s:is>
          <s:t>256-128</s:t>
        </s:is>
      </s:c>
      <s:c r="K19" s="33" t="n">
        <s:v>0</s:v>
      </s:c>
      <s:c r="L19" s="33" t="inlineStr">
        <s:is>
          <s:t>none</s:t>
        </s:is>
      </s:c>
      <s:c r="M19" s="33" t="inlineStr">
        <s:is>
          <s:t>fp32</s:t>
        </s:is>
      </s:c>
      <s:c r="N19" s="33" t="inlineStr">
        <s:is>
          <s:t>he</s:t>
        </s:is>
      </s:c>
      <s:c r="O19" s="33" t="n">
        <s:v>1</s:v>
      </s:c>
      <s:c r="P19" s="34" t="n">
        <s:v>2.269061720111444</s:v>
      </s:c>
      <s:c r="Q19" s="34" t="n">
        <s:v>0.3226939754281319</s:v>
      </s:c>
      <s:c r="R19" s="33" t="n">
        <s:v>19</s:v>
      </s:c>
      <s:c r="S19" s="34" t="n">
        <s:v>0.33253921875</s:v>
      </s:c>
      <s:c r="T19" s="34" t="n">
        <s:v>0.3436879997001463</s:v>
      </s:c>
      <s:c r="U19" s="34" t="n">
        <s:v>0.8671069899528839</s:v>
      </s:c>
      <s:c r="V19" s="34" t="n">
        <s:v>0.7560347780387083</s:v>
      </s:c>
      <s:c r="W19" s="33" t="n">
        <s:v>1.849979689999964</s:v>
      </s:c>
      <s:c r="X19" s="33" t="n">
        <s:v>161.24267578125</s:v>
      </s:c>
      <s:c r="Y19" s="33" t="b">
        <s:v>0</s:v>
      </s:c>
      <s:c r="Z19" s="34" t="n"/>
      <s:c r="AA19" s="34" t="n"/>
      <s:c r="AB19" s="33" t="inlineStr">
        <s:is>
          <s:t>figures/search-sgd_momentum-lr0.01.png</s:t>
        </s:is>
      </s:c>
      <s:c r="AC19" s="33" t="inlineStr">
        <s:is>
          <s:t>20 epochs; optimizer and its learning rate calibrated together; fixed seed 1.; activation_std=[0.3904455602169037, 0.36608922481536865, 0.5759302377700806]; mean clip_fraction=0.0</s:t>
        </s:is>
      </s:c>
      <s:c r="AD19" s="35">
        <s:f>IF(P19="","",P19-LN(7))</s:f>
        <s:v>0.32315157105613035</s:v>
      </s:c>
      <s:c r="AE19" s="35">
        <s:f>IF(OR(T19="",S19=""),"",T19-S19)</s:f>
        <s:v>0.01114878095014632</s:v>
      </s:c>
      <s:c r="AF19" s="35">
        <s:f>IF(OR(V19="",Seeds!$C$8=""),"",V19-Seeds!$C$8)</s:f>
        <s:v>-0.0845449719040009</s:v>
      </s:c>
      <s:c r="AG19" s="35" t="str">
        <s:f>IF(OR(AF19="",Seeds!$C$10=""),"",IF(ABS(AF19)&gt;Seeds!$C$10,"Có","Không"))</s:f>
        <s:v>C?</s:v>
      </s:c>
    </s:row>
    <s:row r="20" ht="15" customHeight="1" s="20">
      <s:c r="A20" s="33" t="inlineStr">
        <s:is>
          <s:t>search-sgd_momentum-lr0.05</s:t>
        </s:is>
      </s:c>
      <s:c r="B20" s="33" t="inlineStr">
        <s:is>
          <s:t>optimizer</s:t>
        </s:is>
      </s:c>
      <s:c r="C20" s="33" t="inlineStr">
        <s:is>
          <s:t>Validation LR search: sgd_momentum, lr=0.05</s:t>
        </s:is>
      </s:c>
      <s:c r="D20" s="33" t="inlineStr">
        <s:is>
          <s:t>ce</s:t>
        </s:is>
      </s:c>
      <s:c r="E20" s="33" t="inlineStr">
        <s:is>
          <s:t>sgd_momentum</s:t>
        </s:is>
      </s:c>
      <s:c r="F20" s="33" t="n">
        <s:v>0.05</s:v>
      </s:c>
      <s:c r="G20" s="33" t="n">
        <s:v>0</s:v>
      </s:c>
      <s:c r="H20" s="33" t="n">
        <s:v>512</s:v>
      </s:c>
      <s:c r="I20" s="33" t="n">
        <s:v>20</s:v>
      </s:c>
      <s:c r="J20" s="33" t="inlineStr">
        <s:is>
          <s:t>256-128</s:t>
        </s:is>
      </s:c>
      <s:c r="K20" s="33" t="n">
        <s:v>0</s:v>
      </s:c>
      <s:c r="L20" s="33" t="inlineStr">
        <s:is>
          <s:t>none</s:t>
        </s:is>
      </s:c>
      <s:c r="M20" s="33" t="inlineStr">
        <s:is>
          <s:t>fp32</s:t>
        </s:is>
      </s:c>
      <s:c r="N20" s="33" t="inlineStr">
        <s:is>
          <s:t>he</s:t>
        </s:is>
      </s:c>
      <s:c r="O20" s="33" t="n">
        <s:v>1</s:v>
      </s:c>
      <s:c r="P20" s="34" t="n">
        <s:v>2.269061720111444</s:v>
      </s:c>
      <s:c r="Q20" s="34" t="n">
        <s:v>0.2460697146414664</s:v>
      </s:c>
      <s:c r="R20" s="33" t="n">
        <s:v>19</s:v>
      </s:c>
      <s:c r="S20" s="34" t="n">
        <s:v>0.2390378515625</s:v>
      </s:c>
      <s:c r="T20" s="34" t="n">
        <s:v>0.2606036900494288</s:v>
      </s:c>
      <s:c r="U20" s="34" t="n">
        <s:v>0.8998945805813128</s:v>
      </s:c>
      <s:c r="V20" s="34" t="n">
        <s:v>0.8409000948669381</s:v>
      </s:c>
      <s:c r="W20" s="33" t="n">
        <s:v>1.829748534999999</s:v>
      </s:c>
      <s:c r="X20" s="33" t="n">
        <s:v>161.24267578125</s:v>
      </s:c>
      <s:c r="Y20" s="33" t="b">
        <s:v>0</s:v>
      </s:c>
      <s:c r="Z20" s="34" t="n"/>
      <s:c r="AA20" s="34" t="n"/>
      <s:c r="AB20" s="33" t="inlineStr">
        <s:is>
          <s:t>figures/search-sgd_momentum-lr0.05.png</s:t>
        </s:is>
      </s:c>
      <s:c r="AC20" s="33" t="inlineStr">
        <s:is>
          <s:t>20 epochs; optimizer and its learning rate calibrated together; fixed seed 1.; activation_std=[0.3904455602169037, 0.36608922481536865, 0.5759302377700806]; mean clip_fraction=0.0</s:t>
        </s:is>
      </s:c>
      <s:c r="AD20" s="35">
        <s:f>IF(P20="","",P20-LN(7))</s:f>
        <s:v>0.32315157105613035</s:v>
      </s:c>
      <s:c r="AE20" s="35">
        <s:f>IF(OR(T20="",S20=""),"",T20-S20)</s:f>
        <s:v>0.021565838486928807</s:v>
      </s:c>
      <s:c r="AF20" s="35">
        <s:f>IF(OR(V20="",Seeds!$C$8=""),"",V20-Seeds!$C$8)</s:f>
        <s:v>0.00032034492422883254</s:v>
      </s:c>
      <s:c r="AG20" s="35" t="str">
        <s:f>IF(OR(AF20="",Seeds!$C$10=""),"",IF(ABS(AF20)&gt;Seeds!$C$10,"Có","Không"))</s:f>
        <s:v>Kh?ng</s:v>
      </s:c>
    </s:row>
    <s:row r="21" ht="15" customHeight="1" s="20">
      <s:c r="A21" s="33" t="inlineStr">
        <s:is>
          <s:t>search-sgd_momentum-lr0.1</s:t>
        </s:is>
      </s:c>
      <s:c r="B21" s="33" t="inlineStr">
        <s:is>
          <s:t>optimizer</s:t>
        </s:is>
      </s:c>
      <s:c r="C21" s="33" t="inlineStr">
        <s:is>
          <s:t>Validation LR search: sgd_momentum, lr=0.1</s:t>
        </s:is>
      </s:c>
      <s:c r="D21" s="33" t="inlineStr">
        <s:is>
          <s:t>ce</s:t>
        </s:is>
      </s:c>
      <s:c r="E21" s="33" t="inlineStr">
        <s:is>
          <s:t>sgd_momentum</s:t>
        </s:is>
      </s:c>
      <s:c r="F21" s="33" t="n">
        <s:v>0.1</s:v>
      </s:c>
      <s:c r="G21" s="33" t="n">
        <s:v>0</s:v>
      </s:c>
      <s:c r="H21" s="33" t="n">
        <s:v>512</s:v>
      </s:c>
      <s:c r="I21" s="33" t="n">
        <s:v>20</s:v>
      </s:c>
      <s:c r="J21" s="33" t="inlineStr">
        <s:is>
          <s:t>256-128</s:t>
        </s:is>
      </s:c>
      <s:c r="K21" s="33" t="n">
        <s:v>0</s:v>
      </s:c>
      <s:c r="L21" s="33" t="inlineStr">
        <s:is>
          <s:t>none</s:t>
        </s:is>
      </s:c>
      <s:c r="M21" s="33" t="inlineStr">
        <s:is>
          <s:t>fp32</s:t>
        </s:is>
      </s:c>
      <s:c r="N21" s="33" t="inlineStr">
        <s:is>
          <s:t>he</s:t>
        </s:is>
      </s:c>
      <s:c r="O21" s="33" t="n">
        <s:v>1</s:v>
      </s:c>
      <s:c r="P21" s="34" t="n">
        <s:v>2.269061720111444</s:v>
      </s:c>
      <s:c r="Q21" s="34" t="n">
        <s:v>0.2317312366208774</s:v>
      </s:c>
      <s:c r="R21" s="33" t="n">
        <s:v>20</s:v>
      </s:c>
      <s:c r="S21" s="34" t="n">
        <s:v>0.2085581640625</s:v>
      </s:c>
      <s:c r="T21" s="34" t="n">
        <s:v>0.2317312366208774</s:v>
      </s:c>
      <s:c r="U21" s="34" t="n">
        <s:v>0.9073277253071147</s:v>
      </s:c>
      <s:c r="V21" s="34" t="n">
        <s:v>0.8394599554081859</s:v>
      </s:c>
      <s:c r="W21" s="33" t="n">
        <s:v>1.819075399999929</s:v>
      </s:c>
      <s:c r="X21" s="33" t="n">
        <s:v>161.24267578125</s:v>
      </s:c>
      <s:c r="Y21" s="33" t="b">
        <s:v>0</s:v>
      </s:c>
      <s:c r="Z21" s="34" t="n"/>
      <s:c r="AA21" s="34" t="n"/>
      <s:c r="AB21" s="33" t="inlineStr">
        <s:is>
          <s:t>figures/search-sgd_momentum-lr0.1.png</s:t>
        </s:is>
      </s:c>
      <s:c r="AC21" s="33" t="inlineStr">
        <s:is>
          <s:t>20 epochs; optimizer and its learning rate calibrated together; fixed seed 1.; activation_std=[0.3904455602169037, 0.36608922481536865, 0.5759302377700806]; mean clip_fraction=0.0</s:t>
        </s:is>
      </s:c>
      <s:c r="AD21" s="35">
        <s:f>IF(P21="","",P21-LN(7))</s:f>
        <s:v>0.32315157105613035</s:v>
      </s:c>
      <s:c r="AE21" s="35">
        <s:f>IF(OR(T21="",S21=""),"",T21-S21)</s:f>
        <s:v>0.02317307255837736</s:v>
      </s:c>
      <s:c r="AF21" s="35">
        <s:f>IF(OR(V21="",Seeds!$C$8=""),"",V21-Seeds!$C$8)</s:f>
        <s:v>-0.0011197945345233773</s:v>
      </s:c>
      <s:c r="AG21" s="35" t="str">
        <s:f>IF(OR(AF21="",Seeds!$C$10=""),"",IF(ABS(AF21)&gt;Seeds!$C$10,"Có","Không"))</s:f>
        <s:v>Kh?ng</s:v>
      </s:c>
    </s:row>
    <s:row r="22" ht="15" customHeight="1" s="20">
      <s:c r="A22" s="33" t="inlineStr">
        <s:is>
          <s:t>wide</s:t>
        </s:is>
      </s:c>
      <s:c r="B22" s="33" t="inlineStr">
        <s:is>
          <s:t>hparam</s:t>
        </s:is>
      </s:c>
      <s:c r="C22" s="33" t="inlineStr">
        <s:is>
          <s:t>Controlled hparam comparison</s:t>
        </s:is>
      </s:c>
      <s:c r="D22" s="33" t="inlineStr">
        <s:is>
          <s:t>ce</s:t>
        </s:is>
      </s:c>
      <s:c r="E22" s="33" t="inlineStr">
        <s:is>
          <s:t>sgd_momentum</s:t>
        </s:is>
      </s:c>
      <s:c r="F22" s="33" t="n">
        <s:v>0.05</s:v>
      </s:c>
      <s:c r="G22" s="33" t="n">
        <s:v>0</s:v>
      </s:c>
      <s:c r="H22" s="33" t="n">
        <s:v>512</s:v>
      </s:c>
      <s:c r="I22" s="33" t="n">
        <s:v>20</s:v>
      </s:c>
      <s:c r="J22" s="33" t="inlineStr">
        <s:is>
          <s:t>512-256</s:t>
        </s:is>
      </s:c>
      <s:c r="K22" s="33" t="n">
        <s:v>0</s:v>
      </s:c>
      <s:c r="L22" s="33" t="inlineStr">
        <s:is>
          <s:t>none</s:t>
        </s:is>
      </s:c>
      <s:c r="M22" s="33" t="inlineStr">
        <s:is>
          <s:t>fp32</s:t>
        </s:is>
      </s:c>
      <s:c r="N22" s="33" t="inlineStr">
        <s:is>
          <s:t>he</s:t>
        </s:is>
      </s:c>
      <s:c r="O22" s="33" t="n">
        <s:v>1</s:v>
      </s:c>
      <s:c r="P22" s="34" t="n">
        <s:v>1.918216583119984</s:v>
      </s:c>
      <s:c r="Q22" s="34" t="n">
        <s:v>0.2148579737217896</s:v>
      </s:c>
      <s:c r="R22" s="33" t="n">
        <s:v>20</s:v>
      </s:c>
      <s:c r="S22" s="34" t="n">
        <s:v>0.188073984375</s:v>
      </s:c>
      <s:c r="T22" s="34" t="n">
        <s:v>0.2148579737217896</s:v>
      </s:c>
      <s:c r="U22" s="34" t="n">
        <s:v>0.9134162345904778</s:v>
      </s:c>
      <s:c r="V22" s="34" t="n">
        <s:v>0.8488148245073338</s:v>
      </s:c>
      <s:c r="W22" s="33" t="n">
        <s:v>1.749094789999981</s:v>
      </s:c>
      <s:c r="X22" s="33" t="n">
        <s:v>175.736328125</s:v>
      </s:c>
      <s:c r="Y22" s="33" t="b">
        <s:v>0</s:v>
      </s:c>
      <s:c r="Z22" s="34" t="n"/>
      <s:c r="AA22" s="34" t="n"/>
      <s:c r="AB22" s="33" t="inlineStr">
        <s:is>
          <s:t>figures/wide.png</s:t>
        </s:is>
      </s:c>
      <s:c r="AC22" s="33" t="inlineStr">
        <s:is>
          <s:t>One factor changed relative to baseline; fixed seed 1.; activation_std=[0.38286158442497253, 0.36626678705215454, 0.5286765098571777]; mean clip_fraction=0.0</s:t>
        </s:is>
      </s:c>
      <s:c r="AD22" s="35">
        <s:f>IF(P22="","",P22-LN(7))</s:f>
        <s:v>-0.02769356593532879</s:v>
      </s:c>
      <s:c r="AE22" s="35">
        <s:f>IF(OR(T22="",S22=""),"",T22-S22)</s:f>
        <s:v>0.02678398934678955</s:v>
      </s:c>
      <s:c r="AF22" s="35">
        <s:f>IF(OR(V22="",Seeds!$C$8=""),"",V22-Seeds!$C$8)</s:f>
        <s:v>0.008235074564624578</s:v>
      </s:c>
      <s:c r="AG22" s="35" t="str">
        <s:f>IF(OR(AF22="",Seeds!$C$10=""),"",IF(ABS(AF22)&gt;Seeds!$C$10,"Có","Không"))</s:f>
        <s:v>Kh?ng</s:v>
      </s:c>
    </s:row>
    <s:row r="23" ht="15" customHeight="1" s="20">
      <s:c r="A23" s="33" t="n"/>
      <s:c r="B23" s="33" t="n"/>
      <s:c r="C23" s="33" t="n"/>
      <s:c r="D23" s="33" t="n"/>
      <s:c r="E23" s="33" t="n"/>
      <s:c r="F23" s="33" t="n"/>
      <s:c r="G23" s="33" t="n"/>
      <s:c r="H23" s="33" t="n"/>
      <s:c r="I23" s="33" t="n"/>
      <s:c r="J23" s="33" t="n"/>
      <s:c r="K23" s="33" t="n"/>
      <s:c r="L23" s="33" t="n"/>
      <s:c r="M23" s="33" t="n"/>
      <s:c r="N23" s="33" t="n"/>
      <s:c r="O23" s="33" t="n"/>
      <s:c r="P23" s="34" t="n"/>
      <s:c r="Q23" s="34" t="n"/>
      <s:c r="R23" s="33" t="n"/>
      <s:c r="S23" s="34" t="n"/>
      <s:c r="T23" s="34" t="n"/>
      <s:c r="U23" s="34" t="n"/>
      <s:c r="V23" s="34" t="n"/>
      <s:c r="W23" s="33" t="n"/>
      <s:c r="X23" s="33" t="n"/>
      <s:c r="Y23" s="33" t="n"/>
      <s:c r="Z23" s="34" t="n"/>
      <s:c r="AA23" s="34" t="n"/>
      <s:c r="AB23" s="33" t="n"/>
      <s:c r="AC23" s="33" t="n"/>
      <s:c r="AD23" s="35" t="str">
        <s:f>IF(P23="","",P23-LN(7))</s:f>
        <s:v/>
      </s:c>
      <s:c r="AE23" s="35" t="str">
        <s:f>IF(OR(T23="",S23=""),"",T23-S23)</s:f>
        <s:v/>
      </s:c>
      <s:c r="AF23" s="35" t="str">
        <s:f>IF(OR(V23="",Seeds!$C$8=""),"",V23-Seeds!$C$8)</s:f>
        <s:v/>
      </s:c>
      <s:c r="AG23" s="35" t="str">
        <s:f>IF(OR(AF23="",Seeds!$C$10=""),"",IF(ABS(AF23)&gt;Seeds!$C$10,"Có","Không"))</s:f>
        <s:v/>
      </s:c>
    </s:row>
    <s:row r="24" ht="15" customHeight="1" s="20">
      <s:c r="A24" s="33" t="n"/>
      <s:c r="B24" s="33" t="n"/>
      <s:c r="C24" s="33" t="n"/>
      <s:c r="D24" s="33" t="n"/>
      <s:c r="E24" s="33" t="n"/>
      <s:c r="F24" s="33" t="n"/>
      <s:c r="G24" s="33" t="n"/>
      <s:c r="H24" s="33" t="n"/>
      <s:c r="I24" s="33" t="n"/>
      <s:c r="J24" s="33" t="n"/>
      <s:c r="K24" s="33" t="n"/>
      <s:c r="L24" s="33" t="n"/>
      <s:c r="M24" s="33" t="n"/>
      <s:c r="N24" s="33" t="n"/>
      <s:c r="O24" s="33" t="n"/>
      <s:c r="P24" s="34" t="n"/>
      <s:c r="Q24" s="34" t="n"/>
      <s:c r="R24" s="33" t="n"/>
      <s:c r="S24" s="34" t="n"/>
      <s:c r="T24" s="34" t="n"/>
      <s:c r="U24" s="34" t="n"/>
      <s:c r="V24" s="34" t="n"/>
      <s:c r="W24" s="33" t="n"/>
      <s:c r="X24" s="33" t="n"/>
      <s:c r="Y24" s="33" t="n"/>
      <s:c r="Z24" s="34" t="n"/>
      <s:c r="AA24" s="34" t="n"/>
      <s:c r="AB24" s="33" t="n"/>
      <s:c r="AC24" s="33" t="n"/>
      <s:c r="AD24" s="35" t="str">
        <s:f>IF(P24="","",P24-LN(7))</s:f>
        <s:v/>
      </s:c>
      <s:c r="AE24" s="35" t="str">
        <s:f>IF(OR(T24="",S24=""),"",T24-S24)</s:f>
        <s:v/>
      </s:c>
      <s:c r="AF24" s="35" t="str">
        <s:f>IF(OR(V24="",Seeds!$C$8=""),"",V24-Seeds!$C$8)</s:f>
        <s:v/>
      </s:c>
      <s:c r="AG24" s="35" t="str">
        <s:f>IF(OR(AF24="",Seeds!$C$10=""),"",IF(ABS(AF24)&gt;Seeds!$C$10,"Có","Không"))</s:f>
        <s:v/>
      </s:c>
    </s:row>
    <s:row r="25" ht="15" customHeight="1" s="20">
      <s:c r="A25" s="33" t="n"/>
      <s:c r="B25" s="33" t="n"/>
      <s:c r="C25" s="33" t="n"/>
      <s:c r="D25" s="33" t="n"/>
      <s:c r="E25" s="33" t="n"/>
      <s:c r="F25" s="33" t="n"/>
      <s:c r="G25" s="33" t="n"/>
      <s:c r="H25" s="33" t="n"/>
      <s:c r="I25" s="33" t="n"/>
      <s:c r="J25" s="33" t="n"/>
      <s:c r="K25" s="33" t="n"/>
      <s:c r="L25" s="33" t="n"/>
      <s:c r="M25" s="33" t="n"/>
      <s:c r="N25" s="33" t="n"/>
      <s:c r="O25" s="33" t="n"/>
      <s:c r="P25" s="34" t="n"/>
      <s:c r="Q25" s="34" t="n"/>
      <s:c r="R25" s="33" t="n"/>
      <s:c r="S25" s="34" t="n"/>
      <s:c r="T25" s="34" t="n"/>
      <s:c r="U25" s="34" t="n"/>
      <s:c r="V25" s="34" t="n"/>
      <s:c r="W25" s="33" t="n"/>
      <s:c r="X25" s="33" t="n"/>
      <s:c r="Y25" s="33" t="n"/>
      <s:c r="Z25" s="34" t="n"/>
      <s:c r="AA25" s="34" t="n"/>
      <s:c r="AB25" s="33" t="n"/>
      <s:c r="AC25" s="33" t="n"/>
      <s:c r="AD25" s="35" t="str">
        <s:f>IF(P25="","",P25-LN(7))</s:f>
        <s:v/>
      </s:c>
      <s:c r="AE25" s="35" t="str">
        <s:f>IF(OR(T25="",S25=""),"",T25-S25)</s:f>
        <s:v/>
      </s:c>
      <s:c r="AF25" s="35" t="str">
        <s:f>IF(OR(V25="",Seeds!$C$8=""),"",V25-Seeds!$C$8)</s:f>
        <s:v/>
      </s:c>
      <s:c r="AG25" s="35" t="str">
        <s:f>IF(OR(AF25="",Seeds!$C$10=""),"",IF(ABS(AF25)&gt;Seeds!$C$10,"Có","Không"))</s:f>
        <s:v/>
      </s:c>
    </s:row>
    <s:row r="26" ht="15" customHeight="1" s="20">
      <s:c r="A26" s="33" t="n"/>
      <s:c r="B26" s="33" t="n"/>
      <s:c r="C26" s="33" t="n"/>
      <s:c r="D26" s="33" t="n"/>
      <s:c r="E26" s="33" t="n"/>
      <s:c r="F26" s="33" t="n"/>
      <s:c r="G26" s="33" t="n"/>
      <s:c r="H26" s="33" t="n"/>
      <s:c r="I26" s="33" t="n"/>
      <s:c r="J26" s="33" t="n"/>
      <s:c r="K26" s="33" t="n"/>
      <s:c r="L26" s="33" t="n"/>
      <s:c r="M26" s="33" t="n"/>
      <s:c r="N26" s="33" t="n"/>
      <s:c r="O26" s="33" t="n"/>
      <s:c r="P26" s="34" t="n"/>
      <s:c r="Q26" s="34" t="n"/>
      <s:c r="R26" s="33" t="n"/>
      <s:c r="S26" s="34" t="n"/>
      <s:c r="T26" s="34" t="n"/>
      <s:c r="U26" s="34" t="n"/>
      <s:c r="V26" s="34" t="n"/>
      <s:c r="W26" s="33" t="n"/>
      <s:c r="X26" s="33" t="n"/>
      <s:c r="Y26" s="33" t="n"/>
      <s:c r="Z26" s="34" t="n"/>
      <s:c r="AA26" s="34" t="n"/>
      <s:c r="AB26" s="33" t="n"/>
      <s:c r="AC26" s="33" t="n"/>
      <s:c r="AD26" s="35" t="str">
        <s:f>IF(P26="","",P26-LN(7))</s:f>
        <s:v/>
      </s:c>
      <s:c r="AE26" s="35" t="str">
        <s:f>IF(OR(T26="",S26=""),"",T26-S26)</s:f>
        <s:v/>
      </s:c>
      <s:c r="AF26" s="35" t="str">
        <s:f>IF(OR(V26="",Seeds!$C$8=""),"",V26-Seeds!$C$8)</s:f>
        <s:v/>
      </s:c>
      <s:c r="AG26" s="35" t="str">
        <s:f>IF(OR(AF26="",Seeds!$C$10=""),"",IF(ABS(AF26)&gt;Seeds!$C$10,"Có","Không"))</s:f>
        <s:v/>
      </s:c>
    </s:row>
    <s:row r="27" ht="15" customHeight="1" s="20">
      <s:c r="A27" s="33" t="n"/>
      <s:c r="B27" s="33" t="n"/>
      <s:c r="C27" s="33" t="n"/>
      <s:c r="D27" s="33" t="n"/>
      <s:c r="E27" s="33" t="n"/>
      <s:c r="F27" s="33" t="n"/>
      <s:c r="G27" s="33" t="n"/>
      <s:c r="H27" s="33" t="n"/>
      <s:c r="I27" s="33" t="n"/>
      <s:c r="J27" s="33" t="n"/>
      <s:c r="K27" s="33" t="n"/>
      <s:c r="L27" s="33" t="n"/>
      <s:c r="M27" s="33" t="n"/>
      <s:c r="N27" s="33" t="n"/>
      <s:c r="O27" s="33" t="n"/>
      <s:c r="P27" s="34" t="n"/>
      <s:c r="Q27" s="34" t="n"/>
      <s:c r="R27" s="33" t="n"/>
      <s:c r="S27" s="34" t="n"/>
      <s:c r="T27" s="34" t="n"/>
      <s:c r="U27" s="34" t="n"/>
      <s:c r="V27" s="34" t="n"/>
      <s:c r="W27" s="33" t="n"/>
      <s:c r="X27" s="33" t="n"/>
      <s:c r="Y27" s="33" t="n"/>
      <s:c r="Z27" s="34" t="n"/>
      <s:c r="AA27" s="34" t="n"/>
      <s:c r="AB27" s="33" t="n"/>
      <s:c r="AC27" s="33" t="n"/>
      <s:c r="AD27" s="35" t="str">
        <s:f>IF(P27="","",P27-LN(7))</s:f>
        <s:v/>
      </s:c>
      <s:c r="AE27" s="35" t="str">
        <s:f>IF(OR(T27="",S27=""),"",T27-S27)</s:f>
        <s:v/>
      </s:c>
      <s:c r="AF27" s="35" t="str">
        <s:f>IF(OR(V27="",Seeds!$C$8=""),"",V27-Seeds!$C$8)</s:f>
        <s:v/>
      </s:c>
      <s:c r="AG27" s="35" t="str">
        <s:f>IF(OR(AF27="",Seeds!$C$10=""),"",IF(ABS(AF27)&gt;Seeds!$C$10,"Có","Không"))</s:f>
        <s:v/>
      </s:c>
    </s:row>
    <s:row r="28" ht="15" customHeight="1" s="20">
      <s:c r="A28" s="33" t="n"/>
      <s:c r="B28" s="33" t="n"/>
      <s:c r="C28" s="33" t="n"/>
      <s:c r="D28" s="33" t="n"/>
      <s:c r="E28" s="33" t="n"/>
      <s:c r="F28" s="33" t="n"/>
      <s:c r="G28" s="33" t="n"/>
      <s:c r="H28" s="33" t="n"/>
      <s:c r="I28" s="33" t="n"/>
      <s:c r="J28" s="33" t="n"/>
      <s:c r="K28" s="33" t="n"/>
      <s:c r="L28" s="33" t="n"/>
      <s:c r="M28" s="33" t="n"/>
      <s:c r="N28" s="33" t="n"/>
      <s:c r="O28" s="33" t="n"/>
      <s:c r="P28" s="34" t="n"/>
      <s:c r="Q28" s="34" t="n"/>
      <s:c r="R28" s="33" t="n"/>
      <s:c r="S28" s="34" t="n"/>
      <s:c r="T28" s="34" t="n"/>
      <s:c r="U28" s="34" t="n"/>
      <s:c r="V28" s="34" t="n"/>
      <s:c r="W28" s="33" t="n"/>
      <s:c r="X28" s="33" t="n"/>
      <s:c r="Y28" s="33" t="n"/>
      <s:c r="Z28" s="34" t="n"/>
      <s:c r="AA28" s="34" t="n"/>
      <s:c r="AB28" s="33" t="n"/>
      <s:c r="AC28" s="33" t="n"/>
      <s:c r="AD28" s="35" t="str">
        <s:f>IF(P28="","",P28-LN(7))</s:f>
        <s:v/>
      </s:c>
      <s:c r="AE28" s="35" t="str">
        <s:f>IF(OR(T28="",S28=""),"",T28-S28)</s:f>
        <s:v/>
      </s:c>
      <s:c r="AF28" s="35" t="str">
        <s:f>IF(OR(V28="",Seeds!$C$8=""),"",V28-Seeds!$C$8)</s:f>
        <s:v/>
      </s:c>
      <s:c r="AG28" s="35" t="str">
        <s:f>IF(OR(AF28="",Seeds!$C$10=""),"",IF(ABS(AF28)&gt;Seeds!$C$10,"Có","Không"))</s:f>
        <s:v/>
      </s:c>
    </s:row>
    <s:row r="29" ht="15" customHeight="1" s="20">
      <s:c r="A29" s="33" t="n"/>
      <s:c r="B29" s="33" t="n"/>
      <s:c r="C29" s="33" t="n"/>
      <s:c r="D29" s="33" t="n"/>
      <s:c r="E29" s="33" t="n"/>
      <s:c r="F29" s="33" t="n"/>
      <s:c r="G29" s="33" t="n"/>
      <s:c r="H29" s="33" t="n"/>
      <s:c r="I29" s="33" t="n"/>
      <s:c r="J29" s="33" t="n"/>
      <s:c r="K29" s="33" t="n"/>
      <s:c r="L29" s="33" t="n"/>
      <s:c r="M29" s="33" t="n"/>
      <s:c r="N29" s="33" t="n"/>
      <s:c r="O29" s="33" t="n"/>
      <s:c r="P29" s="34" t="n"/>
      <s:c r="Q29" s="34" t="n"/>
      <s:c r="R29" s="33" t="n"/>
      <s:c r="S29" s="34" t="n"/>
      <s:c r="T29" s="34" t="n"/>
      <s:c r="U29" s="34" t="n"/>
      <s:c r="V29" s="34" t="n"/>
      <s:c r="W29" s="33" t="n"/>
      <s:c r="X29" s="33" t="n"/>
      <s:c r="Y29" s="33" t="n"/>
      <s:c r="Z29" s="34" t="n"/>
      <s:c r="AA29" s="34" t="n"/>
      <s:c r="AB29" s="33" t="n"/>
      <s:c r="AC29" s="33" t="n"/>
      <s:c r="AD29" s="35" t="str">
        <s:f>IF(P29="","",P29-LN(7))</s:f>
        <s:v/>
      </s:c>
      <s:c r="AE29" s="35" t="str">
        <s:f>IF(OR(T29="",S29=""),"",T29-S29)</s:f>
        <s:v/>
      </s:c>
      <s:c r="AF29" s="35" t="str">
        <s:f>IF(OR(V29="",Seeds!$C$8=""),"",V29-Seeds!$C$8)</s:f>
        <s:v/>
      </s:c>
      <s:c r="AG29" s="35" t="str">
        <s:f>IF(OR(AF29="",Seeds!$C$10=""),"",IF(ABS(AF29)&gt;Seeds!$C$10,"Có","Không"))</s:f>
        <s:v/>
      </s:c>
    </s:row>
    <s:row r="30" ht="15" customHeight="1" s="20">
      <s:c r="A30" s="33" t="n"/>
      <s:c r="B30" s="33" t="n"/>
      <s:c r="C30" s="33" t="n"/>
      <s:c r="D30" s="33" t="n"/>
      <s:c r="E30" s="33" t="n"/>
      <s:c r="F30" s="33" t="n"/>
      <s:c r="G30" s="33" t="n"/>
      <s:c r="H30" s="33" t="n"/>
      <s:c r="I30" s="33" t="n"/>
      <s:c r="J30" s="33" t="n"/>
      <s:c r="K30" s="33" t="n"/>
      <s:c r="L30" s="33" t="n"/>
      <s:c r="M30" s="33" t="n"/>
      <s:c r="N30" s="33" t="n"/>
      <s:c r="O30" s="33" t="n"/>
      <s:c r="P30" s="34" t="n"/>
      <s:c r="Q30" s="34" t="n"/>
      <s:c r="R30" s="33" t="n"/>
      <s:c r="S30" s="34" t="n"/>
      <s:c r="T30" s="34" t="n"/>
      <s:c r="U30" s="34" t="n"/>
      <s:c r="V30" s="34" t="n"/>
      <s:c r="W30" s="33" t="n"/>
      <s:c r="X30" s="33" t="n"/>
      <s:c r="Y30" s="33" t="n"/>
      <s:c r="Z30" s="34" t="n"/>
      <s:c r="AA30" s="34" t="n"/>
      <s:c r="AB30" s="33" t="n"/>
      <s:c r="AC30" s="33" t="n"/>
      <s:c r="AD30" s="35" t="str">
        <s:f>IF(P30="","",P30-LN(7))</s:f>
        <s:v/>
      </s:c>
      <s:c r="AE30" s="35" t="str">
        <s:f>IF(OR(T30="",S30=""),"",T30-S30)</s:f>
        <s:v/>
      </s:c>
      <s:c r="AF30" s="35" t="str">
        <s:f>IF(OR(V30="",Seeds!$C$8=""),"",V30-Seeds!$C$8)</s:f>
        <s:v/>
      </s:c>
      <s:c r="AG30" s="35" t="str">
        <s:f>IF(OR(AF30="",Seeds!$C$10=""),"",IF(ABS(AF30)&gt;Seeds!$C$10,"Có","Không"))</s:f>
        <s:v/>
      </s:c>
    </s:row>
    <s:row r="31" ht="15" customHeight="1" s="20">
      <s:c r="A31" s="33" t="n"/>
      <s:c r="B31" s="33" t="n"/>
      <s:c r="C31" s="33" t="n"/>
      <s:c r="D31" s="33" t="n"/>
      <s:c r="E31" s="33" t="n"/>
      <s:c r="F31" s="33" t="n"/>
      <s:c r="G31" s="33" t="n"/>
      <s:c r="H31" s="33" t="n"/>
      <s:c r="I31" s="33" t="n"/>
      <s:c r="J31" s="33" t="n"/>
      <s:c r="K31" s="33" t="n"/>
      <s:c r="L31" s="33" t="n"/>
      <s:c r="M31" s="33" t="n"/>
      <s:c r="N31" s="33" t="n"/>
      <s:c r="O31" s="33" t="n"/>
      <s:c r="P31" s="34" t="n"/>
      <s:c r="Q31" s="34" t="n"/>
      <s:c r="R31" s="33" t="n"/>
      <s:c r="S31" s="34" t="n"/>
      <s:c r="T31" s="34" t="n"/>
      <s:c r="U31" s="34" t="n"/>
      <s:c r="V31" s="34" t="n"/>
      <s:c r="W31" s="33" t="n"/>
      <s:c r="X31" s="33" t="n"/>
      <s:c r="Y31" s="33" t="n"/>
      <s:c r="Z31" s="34" t="n"/>
      <s:c r="AA31" s="34" t="n"/>
      <s:c r="AB31" s="33" t="n"/>
      <s:c r="AC31" s="33" t="n"/>
      <s:c r="AD31" s="35" t="str">
        <s:f>IF(P31="","",P31-LN(7))</s:f>
        <s:v/>
      </s:c>
      <s:c r="AE31" s="35" t="str">
        <s:f>IF(OR(T31="",S31=""),"",T31-S31)</s:f>
        <s:v/>
      </s:c>
      <s:c r="AF31" s="35" t="str">
        <s:f>IF(OR(V31="",Seeds!$C$8=""),"",V31-Seeds!$C$8)</s:f>
        <s:v/>
      </s:c>
      <s:c r="AG31" s="35" t="str">
        <s:f>IF(OR(AF31="",Seeds!$C$10=""),"",IF(ABS(AF31)&gt;Seeds!$C$10,"Có","Không"))</s:f>
        <s:v/>
      </s:c>
    </s:row>
    <s:row r="32" ht="15" customHeight="1" s="20">
      <s:c r="A32" s="33" t="n"/>
      <s:c r="B32" s="33" t="n"/>
      <s:c r="C32" s="33" t="n"/>
      <s:c r="D32" s="33" t="n"/>
      <s:c r="E32" s="33" t="n"/>
      <s:c r="F32" s="33" t="n"/>
      <s:c r="G32" s="33" t="n"/>
      <s:c r="H32" s="33" t="n"/>
      <s:c r="I32" s="33" t="n"/>
      <s:c r="J32" s="33" t="n"/>
      <s:c r="K32" s="33" t="n"/>
      <s:c r="L32" s="33" t="n"/>
      <s:c r="M32" s="33" t="n"/>
      <s:c r="N32" s="33" t="n"/>
      <s:c r="O32" s="33" t="n"/>
      <s:c r="P32" s="34" t="n"/>
      <s:c r="Q32" s="34" t="n"/>
      <s:c r="R32" s="33" t="n"/>
      <s:c r="S32" s="34" t="n"/>
      <s:c r="T32" s="34" t="n"/>
      <s:c r="U32" s="34" t="n"/>
      <s:c r="V32" s="34" t="n"/>
      <s:c r="W32" s="33" t="n"/>
      <s:c r="X32" s="33" t="n"/>
      <s:c r="Y32" s="33" t="n"/>
      <s:c r="Z32" s="34" t="n"/>
      <s:c r="AA32" s="34" t="n"/>
      <s:c r="AB32" s="33" t="n"/>
      <s:c r="AC32" s="33" t="n"/>
      <s:c r="AD32" s="35" t="str">
        <s:f>IF(P32="","",P32-LN(7))</s:f>
        <s:v/>
      </s:c>
      <s:c r="AE32" s="35" t="str">
        <s:f>IF(OR(T32="",S32=""),"",T32-S32)</s:f>
        <s:v/>
      </s:c>
      <s:c r="AF32" s="35" t="str">
        <s:f>IF(OR(V32="",Seeds!$C$8=""),"",V32-Seeds!$C$8)</s:f>
        <s:v/>
      </s:c>
      <s:c r="AG32" s="35" t="str">
        <s:f>IF(OR(AF32="",Seeds!$C$10=""),"",IF(ABS(AF32)&gt;Seeds!$C$10,"Có","Không"))</s:f>
        <s:v/>
      </s:c>
    </s:row>
    <s:row r="33" ht="15" customHeight="1" s="20">
      <s:c r="A33" s="33" t="n"/>
      <s:c r="B33" s="33" t="n"/>
      <s:c r="C33" s="33" t="n"/>
      <s:c r="D33" s="33" t="n"/>
      <s:c r="E33" s="33" t="n"/>
      <s:c r="F33" s="33" t="n"/>
      <s:c r="G33" s="33" t="n"/>
      <s:c r="H33" s="33" t="n"/>
      <s:c r="I33" s="33" t="n"/>
      <s:c r="J33" s="33" t="n"/>
      <s:c r="K33" s="33" t="n"/>
      <s:c r="L33" s="33" t="n"/>
      <s:c r="M33" s="33" t="n"/>
      <s:c r="N33" s="33" t="n"/>
      <s:c r="O33" s="33" t="n"/>
      <s:c r="P33" s="34" t="n"/>
      <s:c r="Q33" s="34" t="n"/>
      <s:c r="R33" s="33" t="n"/>
      <s:c r="S33" s="34" t="n"/>
      <s:c r="T33" s="34" t="n"/>
      <s:c r="U33" s="34" t="n"/>
      <s:c r="V33" s="34" t="n"/>
      <s:c r="W33" s="33" t="n"/>
      <s:c r="X33" s="33" t="n"/>
      <s:c r="Y33" s="33" t="n"/>
      <s:c r="Z33" s="34" t="n"/>
      <s:c r="AA33" s="34" t="n"/>
      <s:c r="AB33" s="33" t="n"/>
      <s:c r="AC33" s="33" t="n"/>
      <s:c r="AD33" s="35" t="str">
        <s:f>IF(P33="","",P33-LN(7))</s:f>
        <s:v/>
      </s:c>
      <s:c r="AE33" s="35" t="str">
        <s:f>IF(OR(T33="",S33=""),"",T33-S33)</s:f>
        <s:v/>
      </s:c>
      <s:c r="AF33" s="35" t="str">
        <s:f>IF(OR(V33="",Seeds!$C$8=""),"",V33-Seeds!$C$8)</s:f>
        <s:v/>
      </s:c>
      <s:c r="AG33" s="35" t="str">
        <s:f>IF(OR(AF33="",Seeds!$C$10=""),"",IF(ABS(AF33)&gt;Seeds!$C$10,"Có","Không"))</s:f>
        <s:v/>
      </s:c>
    </s:row>
    <s:row r="34" ht="15" customHeight="1" s="20">
      <s:c r="A34" s="33" t="n"/>
      <s:c r="B34" s="33" t="n"/>
      <s:c r="C34" s="33" t="n"/>
      <s:c r="D34" s="33" t="n"/>
      <s:c r="E34" s="33" t="n"/>
      <s:c r="F34" s="33" t="n"/>
      <s:c r="G34" s="33" t="n"/>
      <s:c r="H34" s="33" t="n"/>
      <s:c r="I34" s="33" t="n"/>
      <s:c r="J34" s="33" t="n"/>
      <s:c r="K34" s="33" t="n"/>
      <s:c r="L34" s="33" t="n"/>
      <s:c r="M34" s="33" t="n"/>
      <s:c r="N34" s="33" t="n"/>
      <s:c r="O34" s="33" t="n"/>
      <s:c r="P34" s="34" t="n"/>
      <s:c r="Q34" s="34" t="n"/>
      <s:c r="R34" s="33" t="n"/>
      <s:c r="S34" s="34" t="n"/>
      <s:c r="T34" s="34" t="n"/>
      <s:c r="U34" s="34" t="n"/>
      <s:c r="V34" s="34" t="n"/>
      <s:c r="W34" s="33" t="n"/>
      <s:c r="X34" s="33" t="n"/>
      <s:c r="Y34" s="33" t="n"/>
      <s:c r="Z34" s="34" t="n"/>
      <s:c r="AA34" s="34" t="n"/>
      <s:c r="AB34" s="33" t="n"/>
      <s:c r="AC34" s="33" t="n"/>
      <s:c r="AD34" s="35" t="str">
        <s:f>IF(P34="","",P34-LN(7))</s:f>
        <s:v/>
      </s:c>
      <s:c r="AE34" s="35" t="str">
        <s:f>IF(OR(T34="",S34=""),"",T34-S34)</s:f>
        <s:v/>
      </s:c>
      <s:c r="AF34" s="35" t="str">
        <s:f>IF(OR(V34="",Seeds!$C$8=""),"",V34-Seeds!$C$8)</s:f>
        <s:v/>
      </s:c>
      <s:c r="AG34" s="35" t="str">
        <s:f>IF(OR(AF34="",Seeds!$C$10=""),"",IF(ABS(AF34)&gt;Seeds!$C$10,"Có","Không"))</s:f>
        <s:v/>
      </s:c>
    </s:row>
    <s:row r="35" ht="15" customHeight="1" s="20">
      <s:c r="A35" s="33" t="n"/>
      <s:c r="B35" s="33" t="n"/>
      <s:c r="C35" s="33" t="n"/>
      <s:c r="D35" s="33" t="n"/>
      <s:c r="E35" s="33" t="n"/>
      <s:c r="F35" s="33" t="n"/>
      <s:c r="G35" s="33" t="n"/>
      <s:c r="H35" s="33" t="n"/>
      <s:c r="I35" s="33" t="n"/>
      <s:c r="J35" s="33" t="n"/>
      <s:c r="K35" s="33" t="n"/>
      <s:c r="L35" s="33" t="n"/>
      <s:c r="M35" s="33" t="n"/>
      <s:c r="N35" s="33" t="n"/>
      <s:c r="O35" s="33" t="n"/>
      <s:c r="P35" s="34" t="n"/>
      <s:c r="Q35" s="34" t="n"/>
      <s:c r="R35" s="33" t="n"/>
      <s:c r="S35" s="34" t="n"/>
      <s:c r="T35" s="34" t="n"/>
      <s:c r="U35" s="34" t="n"/>
      <s:c r="V35" s="34" t="n"/>
      <s:c r="W35" s="33" t="n"/>
      <s:c r="X35" s="33" t="n"/>
      <s:c r="Y35" s="33" t="n"/>
      <s:c r="Z35" s="34" t="n"/>
      <s:c r="AA35" s="34" t="n"/>
      <s:c r="AB35" s="33" t="n"/>
      <s:c r="AC35" s="33" t="n"/>
      <s:c r="AD35" s="35" t="str">
        <s:f>IF(P35="","",P35-LN(7))</s:f>
        <s:v/>
      </s:c>
      <s:c r="AE35" s="35" t="str">
        <s:f>IF(OR(T35="",S35=""),"",T35-S35)</s:f>
        <s:v/>
      </s:c>
      <s:c r="AF35" s="35" t="str">
        <s:f>IF(OR(V35="",Seeds!$C$8=""),"",V35-Seeds!$C$8)</s:f>
        <s:v/>
      </s:c>
      <s:c r="AG35" s="35" t="str">
        <s:f>IF(OR(AF35="",Seeds!$C$10=""),"",IF(ABS(AF35)&gt;Seeds!$C$10,"Có","Không"))</s:f>
        <s:v/>
      </s:c>
    </s:row>
    <s:row r="36" ht="15" customHeight="1" s="20">
      <s:c r="A36" s="33" t="n"/>
      <s:c r="B36" s="33" t="n"/>
      <s:c r="C36" s="33" t="n"/>
      <s:c r="D36" s="33" t="n"/>
      <s:c r="E36" s="33" t="n"/>
      <s:c r="F36" s="33" t="n"/>
      <s:c r="G36" s="33" t="n"/>
      <s:c r="H36" s="33" t="n"/>
      <s:c r="I36" s="33" t="n"/>
      <s:c r="J36" s="33" t="n"/>
      <s:c r="K36" s="33" t="n"/>
      <s:c r="L36" s="33" t="n"/>
      <s:c r="M36" s="33" t="n"/>
      <s:c r="N36" s="33" t="n"/>
      <s:c r="O36" s="33" t="n"/>
      <s:c r="P36" s="34" t="n"/>
      <s:c r="Q36" s="34" t="n"/>
      <s:c r="R36" s="33" t="n"/>
      <s:c r="S36" s="34" t="n"/>
      <s:c r="T36" s="34" t="n"/>
      <s:c r="U36" s="34" t="n"/>
      <s:c r="V36" s="34" t="n"/>
      <s:c r="W36" s="33" t="n"/>
      <s:c r="X36" s="33" t="n"/>
      <s:c r="Y36" s="33" t="n"/>
      <s:c r="Z36" s="34" t="n"/>
      <s:c r="AA36" s="34" t="n"/>
      <s:c r="AB36" s="33" t="n"/>
      <s:c r="AC36" s="33" t="n"/>
      <s:c r="AD36" s="35" t="str">
        <s:f>IF(P36="","",P36-LN(7))</s:f>
        <s:v/>
      </s:c>
      <s:c r="AE36" s="35" t="str">
        <s:f>IF(OR(T36="",S36=""),"",T36-S36)</s:f>
        <s:v/>
      </s:c>
      <s:c r="AF36" s="35" t="str">
        <s:f>IF(OR(V36="",Seeds!$C$8=""),"",V36-Seeds!$C$8)</s:f>
        <s:v/>
      </s:c>
      <s:c r="AG36" s="35" t="str">
        <s:f>IF(OR(AF36="",Seeds!$C$10=""),"",IF(ABS(AF36)&gt;Seeds!$C$10,"Có","Không"))</s:f>
        <s:v/>
      </s:c>
    </s:row>
    <s:row r="37" ht="15" customHeight="1" s="20">
      <s:c r="A37" s="33" t="n"/>
      <s:c r="B37" s="33" t="n"/>
      <s:c r="C37" s="33" t="n"/>
      <s:c r="D37" s="33" t="n"/>
      <s:c r="E37" s="33" t="n"/>
      <s:c r="F37" s="33" t="n"/>
      <s:c r="G37" s="33" t="n"/>
      <s:c r="H37" s="33" t="n"/>
      <s:c r="I37" s="33" t="n"/>
      <s:c r="J37" s="33" t="n"/>
      <s:c r="K37" s="33" t="n"/>
      <s:c r="L37" s="33" t="n"/>
      <s:c r="M37" s="33" t="n"/>
      <s:c r="N37" s="33" t="n"/>
      <s:c r="O37" s="33" t="n"/>
      <s:c r="P37" s="34" t="n"/>
      <s:c r="Q37" s="34" t="n"/>
      <s:c r="R37" s="33" t="n"/>
      <s:c r="S37" s="34" t="n"/>
      <s:c r="T37" s="34" t="n"/>
      <s:c r="U37" s="34" t="n"/>
      <s:c r="V37" s="34" t="n"/>
      <s:c r="W37" s="33" t="n"/>
      <s:c r="X37" s="33" t="n"/>
      <s:c r="Y37" s="33" t="n"/>
      <s:c r="Z37" s="34" t="n"/>
      <s:c r="AA37" s="34" t="n"/>
      <s:c r="AB37" s="33" t="n"/>
      <s:c r="AC37" s="33" t="n"/>
      <s:c r="AD37" s="35" t="str">
        <s:f>IF(P37="","",P37-LN(7))</s:f>
        <s:v/>
      </s:c>
      <s:c r="AE37" s="35" t="str">
        <s:f>IF(OR(T37="",S37=""),"",T37-S37)</s:f>
        <s:v/>
      </s:c>
      <s:c r="AF37" s="35" t="str">
        <s:f>IF(OR(V37="",Seeds!$C$8=""),"",V37-Seeds!$C$8)</s:f>
        <s:v/>
      </s:c>
      <s:c r="AG37" s="35" t="str">
        <s:f>IF(OR(AF37="",Seeds!$C$10=""),"",IF(ABS(AF37)&gt;Seeds!$C$10,"Có","Không"))</s:f>
        <s:v/>
      </s:c>
    </s:row>
    <s:row r="38" ht="15" customHeight="1" s="20">
      <s:c r="A38" s="33" t="n"/>
      <s:c r="B38" s="33" t="n"/>
      <s:c r="C38" s="33" t="n"/>
      <s:c r="D38" s="33" t="n"/>
      <s:c r="E38" s="33" t="n"/>
      <s:c r="F38" s="33" t="n"/>
      <s:c r="G38" s="33" t="n"/>
      <s:c r="H38" s="33" t="n"/>
      <s:c r="I38" s="33" t="n"/>
      <s:c r="J38" s="33" t="n"/>
      <s:c r="K38" s="33" t="n"/>
      <s:c r="L38" s="33" t="n"/>
      <s:c r="M38" s="33" t="n"/>
      <s:c r="N38" s="33" t="n"/>
      <s:c r="O38" s="33" t="n"/>
      <s:c r="P38" s="34" t="n"/>
      <s:c r="Q38" s="34" t="n"/>
      <s:c r="R38" s="33" t="n"/>
      <s:c r="S38" s="34" t="n"/>
      <s:c r="T38" s="34" t="n"/>
      <s:c r="U38" s="34" t="n"/>
      <s:c r="V38" s="34" t="n"/>
      <s:c r="W38" s="33" t="n"/>
      <s:c r="X38" s="33" t="n"/>
      <s:c r="Y38" s="33" t="n"/>
      <s:c r="Z38" s="34" t="n"/>
      <s:c r="AA38" s="34" t="n"/>
      <s:c r="AB38" s="33" t="n"/>
      <s:c r="AC38" s="33" t="n"/>
      <s:c r="AD38" s="35" t="str">
        <s:f>IF(P38="","",P38-LN(7))</s:f>
        <s:v/>
      </s:c>
      <s:c r="AE38" s="35" t="str">
        <s:f>IF(OR(T38="",S38=""),"",T38-S38)</s:f>
        <s:v/>
      </s:c>
      <s:c r="AF38" s="35" t="str">
        <s:f>IF(OR(V38="",Seeds!$C$8=""),"",V38-Seeds!$C$8)</s:f>
        <s:v/>
      </s:c>
      <s:c r="AG38" s="35" t="str">
        <s:f>IF(OR(AF38="",Seeds!$C$10=""),"",IF(ABS(AF38)&gt;Seeds!$C$10,"Có","Không"))</s:f>
        <s:v/>
      </s:c>
    </s:row>
    <s:row r="39" ht="15" customHeight="1" s="20">
      <s:c r="A39" s="33" t="n"/>
      <s:c r="B39" s="33" t="n"/>
      <s:c r="C39" s="33" t="n"/>
      <s:c r="D39" s="33" t="n"/>
      <s:c r="E39" s="33" t="n"/>
      <s:c r="F39" s="33" t="n"/>
      <s:c r="G39" s="33" t="n"/>
      <s:c r="H39" s="33" t="n"/>
      <s:c r="I39" s="33" t="n"/>
      <s:c r="J39" s="33" t="n"/>
      <s:c r="K39" s="33" t="n"/>
      <s:c r="L39" s="33" t="n"/>
      <s:c r="M39" s="33" t="n"/>
      <s:c r="N39" s="33" t="n"/>
      <s:c r="O39" s="33" t="n"/>
      <s:c r="P39" s="34" t="n"/>
      <s:c r="Q39" s="34" t="n"/>
      <s:c r="R39" s="33" t="n"/>
      <s:c r="S39" s="34" t="n"/>
      <s:c r="T39" s="34" t="n"/>
      <s:c r="U39" s="34" t="n"/>
      <s:c r="V39" s="34" t="n"/>
      <s:c r="W39" s="33" t="n"/>
      <s:c r="X39" s="33" t="n"/>
      <s:c r="Y39" s="33" t="n"/>
      <s:c r="Z39" s="34" t="n"/>
      <s:c r="AA39" s="34" t="n"/>
      <s:c r="AB39" s="33" t="n"/>
      <s:c r="AC39" s="33" t="n"/>
      <s:c r="AD39" s="35" t="str">
        <s:f>IF(P39="","",P39-LN(7))</s:f>
        <s:v/>
      </s:c>
      <s:c r="AE39" s="35" t="str">
        <s:f>IF(OR(T39="",S39=""),"",T39-S39)</s:f>
        <s:v/>
      </s:c>
      <s:c r="AF39" s="35" t="str">
        <s:f>IF(OR(V39="",Seeds!$C$8=""),"",V39-Seeds!$C$8)</s:f>
        <s:v/>
      </s:c>
      <s:c r="AG39" s="35" t="str">
        <s:f>IF(OR(AF39="",Seeds!$C$10=""),"",IF(ABS(AF39)&gt;Seeds!$C$10,"Có","Không"))</s:f>
        <s:v/>
      </s:c>
    </s:row>
    <s:row r="40" ht="15" customHeight="1" s="20">
      <s:c r="A40" s="33" t="n"/>
      <s:c r="B40" s="33" t="n"/>
      <s:c r="C40" s="33" t="n"/>
      <s:c r="D40" s="33" t="n"/>
      <s:c r="E40" s="33" t="n"/>
      <s:c r="F40" s="33" t="n"/>
      <s:c r="G40" s="33" t="n"/>
      <s:c r="H40" s="33" t="n"/>
      <s:c r="I40" s="33" t="n"/>
      <s:c r="J40" s="33" t="n"/>
      <s:c r="K40" s="33" t="n"/>
      <s:c r="L40" s="33" t="n"/>
      <s:c r="M40" s="33" t="n"/>
      <s:c r="N40" s="33" t="n"/>
      <s:c r="O40" s="33" t="n"/>
      <s:c r="P40" s="34" t="n"/>
      <s:c r="Q40" s="34" t="n"/>
      <s:c r="R40" s="33" t="n"/>
      <s:c r="S40" s="34" t="n"/>
      <s:c r="T40" s="34" t="n"/>
      <s:c r="U40" s="34" t="n"/>
      <s:c r="V40" s="34" t="n"/>
      <s:c r="W40" s="33" t="n"/>
      <s:c r="X40" s="33" t="n"/>
      <s:c r="Y40" s="33" t="n"/>
      <s:c r="Z40" s="34" t="n"/>
      <s:c r="AA40" s="34" t="n"/>
      <s:c r="AB40" s="33" t="n"/>
      <s:c r="AC40" s="33" t="n"/>
      <s:c r="AD40" s="35" t="str">
        <s:f>IF(P40="","",P40-LN(7))</s:f>
        <s:v/>
      </s:c>
      <s:c r="AE40" s="35" t="str">
        <s:f>IF(OR(T40="",S40=""),"",T40-S40)</s:f>
        <s:v/>
      </s:c>
      <s:c r="AF40" s="35" t="str">
        <s:f>IF(OR(V40="",Seeds!$C$8=""),"",V40-Seeds!$C$8)</s:f>
        <s:v/>
      </s:c>
      <s:c r="AG40" s="35" t="str">
        <s:f>IF(OR(AF40="",Seeds!$C$10=""),"",IF(ABS(AF40)&gt;Seeds!$C$10,"Có","Không"))</s:f>
        <s:v/>
      </s:c>
    </s:row>
    <s:row r="41" ht="15" customHeight="1" s="20">
      <s:c r="A41" s="33" t="n"/>
      <s:c r="B41" s="33" t="n"/>
      <s:c r="C41" s="33" t="n"/>
      <s:c r="D41" s="33" t="n"/>
      <s:c r="E41" s="33" t="n"/>
      <s:c r="F41" s="33" t="n"/>
      <s:c r="G41" s="33" t="n"/>
      <s:c r="H41" s="33" t="n"/>
      <s:c r="I41" s="33" t="n"/>
      <s:c r="J41" s="33" t="n"/>
      <s:c r="K41" s="33" t="n"/>
      <s:c r="L41" s="33" t="n"/>
      <s:c r="M41" s="33" t="n"/>
      <s:c r="N41" s="33" t="n"/>
      <s:c r="O41" s="33" t="n"/>
      <s:c r="P41" s="34" t="n"/>
      <s:c r="Q41" s="34" t="n"/>
      <s:c r="R41" s="33" t="n"/>
      <s:c r="S41" s="34" t="n"/>
      <s:c r="T41" s="34" t="n"/>
      <s:c r="U41" s="34" t="n"/>
      <s:c r="V41" s="34" t="n"/>
      <s:c r="W41" s="33" t="n"/>
      <s:c r="X41" s="33" t="n"/>
      <s:c r="Y41" s="33" t="n"/>
      <s:c r="Z41" s="34" t="n"/>
      <s:c r="AA41" s="34" t="n"/>
      <s:c r="AB41" s="33" t="n"/>
      <s:c r="AC41" s="33" t="n"/>
      <s:c r="AD41" s="35" t="str">
        <s:f>IF(P41="","",P41-LN(7))</s:f>
        <s:v/>
      </s:c>
      <s:c r="AE41" s="35" t="str">
        <s:f>IF(OR(T41="",S41=""),"",T41-S41)</s:f>
        <s:v/>
      </s:c>
      <s:c r="AF41" s="35" t="str">
        <s:f>IF(OR(V41="",Seeds!$C$8=""),"",V41-Seeds!$C$8)</s:f>
        <s:v/>
      </s:c>
      <s:c r="AG41" s="35" t="str">
        <s:f>IF(OR(AF41="",Seeds!$C$10=""),"",IF(ABS(AF41)&gt;Seeds!$C$10,"Có","Không"))</s:f>
        <s:v/>
      </s:c>
    </s:row>
    <s:row r="42" ht="15" customHeight="1" s="20">
      <s:c r="A42" s="33" t="n"/>
      <s:c r="B42" s="33" t="n"/>
      <s:c r="C42" s="33" t="n"/>
      <s:c r="D42" s="33" t="n"/>
      <s:c r="E42" s="33" t="n"/>
      <s:c r="F42" s="33" t="n"/>
      <s:c r="G42" s="33" t="n"/>
      <s:c r="H42" s="33" t="n"/>
      <s:c r="I42" s="33" t="n"/>
      <s:c r="J42" s="33" t="n"/>
      <s:c r="K42" s="33" t="n"/>
      <s:c r="L42" s="33" t="n"/>
      <s:c r="M42" s="33" t="n"/>
      <s:c r="N42" s="33" t="n"/>
      <s:c r="O42" s="33" t="n"/>
      <s:c r="P42" s="34" t="n"/>
      <s:c r="Q42" s="34" t="n"/>
      <s:c r="R42" s="33" t="n"/>
      <s:c r="S42" s="34" t="n"/>
      <s:c r="T42" s="34" t="n"/>
      <s:c r="U42" s="34" t="n"/>
      <s:c r="V42" s="34" t="n"/>
      <s:c r="W42" s="33" t="n"/>
      <s:c r="X42" s="33" t="n"/>
      <s:c r="Y42" s="33" t="n"/>
      <s:c r="Z42" s="34" t="n"/>
      <s:c r="AA42" s="34" t="n"/>
      <s:c r="AB42" s="33" t="n"/>
      <s:c r="AC42" s="33" t="n"/>
      <s:c r="AD42" s="35" t="str">
        <s:f>IF(P42="","",P42-LN(7))</s:f>
        <s:v/>
      </s:c>
      <s:c r="AE42" s="35" t="str">
        <s:f>IF(OR(T42="",S42=""),"",T42-S42)</s:f>
        <s:v/>
      </s:c>
      <s:c r="AF42" s="35" t="str">
        <s:f>IF(OR(V42="",Seeds!$C$8=""),"",V42-Seeds!$C$8)</s:f>
        <s:v/>
      </s:c>
      <s:c r="AG42" s="35" t="str">
        <s:f>IF(OR(AF42="",Seeds!$C$10=""),"",IF(ABS(AF42)&gt;Seeds!$C$10,"Có","Không"))</s:f>
        <s:v/>
      </s:c>
    </s:row>
    <s:row r="43" ht="15" customHeight="1" s="20">
      <s:c r="A43" s="33" t="n"/>
      <s:c r="B43" s="33" t="n"/>
      <s:c r="C43" s="33" t="n"/>
      <s:c r="D43" s="33" t="n"/>
      <s:c r="E43" s="33" t="n"/>
      <s:c r="F43" s="33" t="n"/>
      <s:c r="G43" s="33" t="n"/>
      <s:c r="H43" s="33" t="n"/>
      <s:c r="I43" s="33" t="n"/>
      <s:c r="J43" s="33" t="n"/>
      <s:c r="K43" s="33" t="n"/>
      <s:c r="L43" s="33" t="n"/>
      <s:c r="M43" s="33" t="n"/>
      <s:c r="N43" s="33" t="n"/>
      <s:c r="O43" s="33" t="n"/>
      <s:c r="P43" s="34" t="n"/>
      <s:c r="Q43" s="34" t="n"/>
      <s:c r="R43" s="33" t="n"/>
      <s:c r="S43" s="34" t="n"/>
      <s:c r="T43" s="34" t="n"/>
      <s:c r="U43" s="34" t="n"/>
      <s:c r="V43" s="34" t="n"/>
      <s:c r="W43" s="33" t="n"/>
      <s:c r="X43" s="33" t="n"/>
      <s:c r="Y43" s="33" t="n"/>
      <s:c r="Z43" s="34" t="n"/>
      <s:c r="AA43" s="34" t="n"/>
      <s:c r="AB43" s="33" t="n"/>
      <s:c r="AC43" s="33" t="n"/>
      <s:c r="AD43" s="35" t="str">
        <s:f>IF(P43="","",P43-LN(7))</s:f>
        <s:v/>
      </s:c>
      <s:c r="AE43" s="35" t="str">
        <s:f>IF(OR(T43="",S43=""),"",T43-S43)</s:f>
        <s:v/>
      </s:c>
      <s:c r="AF43" s="35" t="str">
        <s:f>IF(OR(V43="",Seeds!$C$8=""),"",V43-Seeds!$C$8)</s:f>
        <s:v/>
      </s:c>
      <s:c r="AG43" s="35" t="str">
        <s:f>IF(OR(AF43="",Seeds!$C$10=""),"",IF(ABS(AF43)&gt;Seeds!$C$10,"Có","Không"))</s:f>
        <s:v/>
      </s:c>
    </s:row>
    <s:row r="44" ht="15" customHeight="1" s="20">
      <s:c r="A44" s="33" t="n"/>
      <s:c r="B44" s="33" t="n"/>
      <s:c r="C44" s="33" t="n"/>
      <s:c r="D44" s="33" t="n"/>
      <s:c r="E44" s="33" t="n"/>
      <s:c r="F44" s="33" t="n"/>
      <s:c r="G44" s="33" t="n"/>
      <s:c r="H44" s="33" t="n"/>
      <s:c r="I44" s="33" t="n"/>
      <s:c r="J44" s="33" t="n"/>
      <s:c r="K44" s="33" t="n"/>
      <s:c r="L44" s="33" t="n"/>
      <s:c r="M44" s="33" t="n"/>
      <s:c r="N44" s="33" t="n"/>
      <s:c r="O44" s="33" t="n"/>
      <s:c r="P44" s="34" t="n"/>
      <s:c r="Q44" s="34" t="n"/>
      <s:c r="R44" s="33" t="n"/>
      <s:c r="S44" s="34" t="n"/>
      <s:c r="T44" s="34" t="n"/>
      <s:c r="U44" s="34" t="n"/>
      <s:c r="V44" s="34" t="n"/>
      <s:c r="W44" s="33" t="n"/>
      <s:c r="X44" s="33" t="n"/>
      <s:c r="Y44" s="33" t="n"/>
      <s:c r="Z44" s="34" t="n"/>
      <s:c r="AA44" s="34" t="n"/>
      <s:c r="AB44" s="33" t="n"/>
      <s:c r="AC44" s="33" t="n"/>
      <s:c r="AD44" s="35" t="str">
        <s:f>IF(P44="","",P44-LN(7))</s:f>
        <s:v/>
      </s:c>
      <s:c r="AE44" s="35" t="str">
        <s:f>IF(OR(T44="",S44=""),"",T44-S44)</s:f>
        <s:v/>
      </s:c>
      <s:c r="AF44" s="35" t="str">
        <s:f>IF(OR(V44="",Seeds!$C$8=""),"",V44-Seeds!$C$8)</s:f>
        <s:v/>
      </s:c>
      <s:c r="AG44" s="35" t="str">
        <s:f>IF(OR(AF44="",Seeds!$C$10=""),"",IF(ABS(AF44)&gt;Seeds!$C$10,"Có","Không"))</s:f>
        <s:v/>
      </s:c>
    </s:row>
    <s:row r="45" ht="15" customHeight="1" s="20">
      <s:c r="A45" s="33" t="n"/>
      <s:c r="B45" s="33" t="n"/>
      <s:c r="C45" s="33" t="n"/>
      <s:c r="D45" s="33" t="n"/>
      <s:c r="E45" s="33" t="n"/>
      <s:c r="F45" s="33" t="n"/>
      <s:c r="G45" s="33" t="n"/>
      <s:c r="H45" s="33" t="n"/>
      <s:c r="I45" s="33" t="n"/>
      <s:c r="J45" s="33" t="n"/>
      <s:c r="K45" s="33" t="n"/>
      <s:c r="L45" s="33" t="n"/>
      <s:c r="M45" s="33" t="n"/>
      <s:c r="N45" s="33" t="n"/>
      <s:c r="O45" s="33" t="n"/>
      <s:c r="P45" s="34" t="n"/>
      <s:c r="Q45" s="34" t="n"/>
      <s:c r="R45" s="33" t="n"/>
      <s:c r="S45" s="34" t="n"/>
      <s:c r="T45" s="34" t="n"/>
      <s:c r="U45" s="34" t="n"/>
      <s:c r="V45" s="34" t="n"/>
      <s:c r="W45" s="33" t="n"/>
      <s:c r="X45" s="33" t="n"/>
      <s:c r="Y45" s="33" t="n"/>
      <s:c r="Z45" s="34" t="n"/>
      <s:c r="AA45" s="34" t="n"/>
      <s:c r="AB45" s="33" t="n"/>
      <s:c r="AC45" s="33" t="n"/>
      <s:c r="AD45" s="35" t="str">
        <s:f>IF(P45="","",P45-LN(7))</s:f>
        <s:v/>
      </s:c>
      <s:c r="AE45" s="35" t="str">
        <s:f>IF(OR(T45="",S45=""),"",T45-S45)</s:f>
        <s:v/>
      </s:c>
      <s:c r="AF45" s="35" t="str">
        <s:f>IF(OR(V45="",Seeds!$C$8=""),"",V45-Seeds!$C$8)</s:f>
        <s:v/>
      </s:c>
      <s:c r="AG45" s="35" t="str">
        <s:f>IF(OR(AF45="",Seeds!$C$10=""),"",IF(ABS(AF45)&gt;Seeds!$C$10,"Có","Không"))</s:f>
        <s:v/>
      </s:c>
    </s:row>
    <s:row r="46" ht="15" customHeight="1" s="20">
      <s:c r="A46" s="33" t="n"/>
      <s:c r="B46" s="33" t="n"/>
      <s:c r="C46" s="33" t="n"/>
      <s:c r="D46" s="33" t="n"/>
      <s:c r="E46" s="33" t="n"/>
      <s:c r="F46" s="33" t="n"/>
      <s:c r="G46" s="33" t="n"/>
      <s:c r="H46" s="33" t="n"/>
      <s:c r="I46" s="33" t="n"/>
      <s:c r="J46" s="33" t="n"/>
      <s:c r="K46" s="33" t="n"/>
      <s:c r="L46" s="33" t="n"/>
      <s:c r="M46" s="33" t="n"/>
      <s:c r="N46" s="33" t="n"/>
      <s:c r="O46" s="33" t="n"/>
      <s:c r="P46" s="34" t="n"/>
      <s:c r="Q46" s="34" t="n"/>
      <s:c r="R46" s="33" t="n"/>
      <s:c r="S46" s="34" t="n"/>
      <s:c r="T46" s="34" t="n"/>
      <s:c r="U46" s="34" t="n"/>
      <s:c r="V46" s="34" t="n"/>
      <s:c r="W46" s="33" t="n"/>
      <s:c r="X46" s="33" t="n"/>
      <s:c r="Y46" s="33" t="n"/>
      <s:c r="Z46" s="34" t="n"/>
      <s:c r="AA46" s="34" t="n"/>
      <s:c r="AB46" s="33" t="n"/>
      <s:c r="AC46" s="33" t="n"/>
      <s:c r="AD46" s="35" t="str">
        <s:f>IF(P46="","",P46-LN(7))</s:f>
        <s:v/>
      </s:c>
      <s:c r="AE46" s="35" t="str">
        <s:f>IF(OR(T46="",S46=""),"",T46-S46)</s:f>
        <s:v/>
      </s:c>
      <s:c r="AF46" s="35" t="str">
        <s:f>IF(OR(V46="",Seeds!$C$8=""),"",V46-Seeds!$C$8)</s:f>
        <s:v/>
      </s:c>
      <s:c r="AG46" s="35" t="str">
        <s:f>IF(OR(AF46="",Seeds!$C$10=""),"",IF(ABS(AF46)&gt;Seeds!$C$10,"Có","Không"))</s:f>
        <s:v/>
      </s:c>
    </s:row>
    <s:row r="47" ht="15" customHeight="1" s="20">
      <s:c r="A47" s="33" t="n"/>
      <s:c r="B47" s="33" t="n"/>
      <s:c r="C47" s="33" t="n"/>
      <s:c r="D47" s="33" t="n"/>
      <s:c r="E47" s="33" t="n"/>
      <s:c r="F47" s="33" t="n"/>
      <s:c r="G47" s="33" t="n"/>
      <s:c r="H47" s="33" t="n"/>
      <s:c r="I47" s="33" t="n"/>
      <s:c r="J47" s="33" t="n"/>
      <s:c r="K47" s="33" t="n"/>
      <s:c r="L47" s="33" t="n"/>
      <s:c r="M47" s="33" t="n"/>
      <s:c r="N47" s="33" t="n"/>
      <s:c r="O47" s="33" t="n"/>
      <s:c r="P47" s="34" t="n"/>
      <s:c r="Q47" s="34" t="n"/>
      <s:c r="R47" s="33" t="n"/>
      <s:c r="S47" s="34" t="n"/>
      <s:c r="T47" s="34" t="n"/>
      <s:c r="U47" s="34" t="n"/>
      <s:c r="V47" s="34" t="n"/>
      <s:c r="W47" s="33" t="n"/>
      <s:c r="X47" s="33" t="n"/>
      <s:c r="Y47" s="33" t="n"/>
      <s:c r="Z47" s="34" t="n"/>
      <s:c r="AA47" s="34" t="n"/>
      <s:c r="AB47" s="33" t="n"/>
      <s:c r="AC47" s="33" t="n"/>
      <s:c r="AD47" s="35" t="str">
        <s:f>IF(P47="","",P47-LN(7))</s:f>
        <s:v/>
      </s:c>
      <s:c r="AE47" s="35" t="str">
        <s:f>IF(OR(T47="",S47=""),"",T47-S47)</s:f>
        <s:v/>
      </s:c>
      <s:c r="AF47" s="35" t="str">
        <s:f>IF(OR(V47="",Seeds!$C$8=""),"",V47-Seeds!$C$8)</s:f>
        <s:v/>
      </s:c>
      <s:c r="AG47" s="35" t="str">
        <s:f>IF(OR(AF47="",Seeds!$C$10=""),"",IF(ABS(AF47)&gt;Seeds!$C$10,"Có","Không"))</s:f>
        <s:v/>
      </s:c>
    </s:row>
    <s:row r="48" ht="15" customHeight="1" s="20">
      <s:c r="A48" s="33" t="n"/>
      <s:c r="B48" s="33" t="n"/>
      <s:c r="C48" s="33" t="n"/>
      <s:c r="D48" s="33" t="n"/>
      <s:c r="E48" s="33" t="n"/>
      <s:c r="F48" s="33" t="n"/>
      <s:c r="G48" s="33" t="n"/>
      <s:c r="H48" s="33" t="n"/>
      <s:c r="I48" s="33" t="n"/>
      <s:c r="J48" s="33" t="n"/>
      <s:c r="K48" s="33" t="n"/>
      <s:c r="L48" s="33" t="n"/>
      <s:c r="M48" s="33" t="n"/>
      <s:c r="N48" s="33" t="n"/>
      <s:c r="O48" s="33" t="n"/>
      <s:c r="P48" s="34" t="n"/>
      <s:c r="Q48" s="34" t="n"/>
      <s:c r="R48" s="33" t="n"/>
      <s:c r="S48" s="34" t="n"/>
      <s:c r="T48" s="34" t="n"/>
      <s:c r="U48" s="34" t="n"/>
      <s:c r="V48" s="34" t="n"/>
      <s:c r="W48" s="33" t="n"/>
      <s:c r="X48" s="33" t="n"/>
      <s:c r="Y48" s="33" t="n"/>
      <s:c r="Z48" s="34" t="n"/>
      <s:c r="AA48" s="34" t="n"/>
      <s:c r="AB48" s="33" t="n"/>
      <s:c r="AC48" s="33" t="n"/>
      <s:c r="AD48" s="35" t="str">
        <s:f>IF(P48="","",P48-LN(7))</s:f>
        <s:v/>
      </s:c>
      <s:c r="AE48" s="35" t="str">
        <s:f>IF(OR(T48="",S48=""),"",T48-S48)</s:f>
        <s:v/>
      </s:c>
      <s:c r="AF48" s="35" t="str">
        <s:f>IF(OR(V48="",Seeds!$C$8=""),"",V48-Seeds!$C$8)</s:f>
        <s:v/>
      </s:c>
      <s:c r="AG48" s="35" t="str">
        <s:f>IF(OR(AF48="",Seeds!$C$10=""),"",IF(ABS(AF48)&gt;Seeds!$C$10,"Có","Không"))</s:f>
        <s:v/>
      </s:c>
    </s:row>
    <s:row r="49" ht="15" customHeight="1" s="20">
      <s:c r="A49" s="33" t="n"/>
      <s:c r="B49" s="33" t="n"/>
      <s:c r="C49" s="33" t="n"/>
      <s:c r="D49" s="33" t="n"/>
      <s:c r="E49" s="33" t="n"/>
      <s:c r="F49" s="33" t="n"/>
      <s:c r="G49" s="33" t="n"/>
      <s:c r="H49" s="33" t="n"/>
      <s:c r="I49" s="33" t="n"/>
      <s:c r="J49" s="33" t="n"/>
      <s:c r="K49" s="33" t="n"/>
      <s:c r="L49" s="33" t="n"/>
      <s:c r="M49" s="33" t="n"/>
      <s:c r="N49" s="33" t="n"/>
      <s:c r="O49" s="33" t="n"/>
      <s:c r="P49" s="34" t="n"/>
      <s:c r="Q49" s="34" t="n"/>
      <s:c r="R49" s="33" t="n"/>
      <s:c r="S49" s="34" t="n"/>
      <s:c r="T49" s="34" t="n"/>
      <s:c r="U49" s="34" t="n"/>
      <s:c r="V49" s="34" t="n"/>
      <s:c r="W49" s="33" t="n"/>
      <s:c r="X49" s="33" t="n"/>
      <s:c r="Y49" s="33" t="n"/>
      <s:c r="Z49" s="34" t="n"/>
      <s:c r="AA49" s="34" t="n"/>
      <s:c r="AB49" s="33" t="n"/>
      <s:c r="AC49" s="33" t="n"/>
      <s:c r="AD49" s="35" t="str">
        <s:f>IF(P49="","",P49-LN(7))</s:f>
        <s:v/>
      </s:c>
      <s:c r="AE49" s="35" t="str">
        <s:f>IF(OR(T49="",S49=""),"",T49-S49)</s:f>
        <s:v/>
      </s:c>
      <s:c r="AF49" s="35" t="str">
        <s:f>IF(OR(V49="",Seeds!$C$8=""),"",V49-Seeds!$C$8)</s:f>
        <s:v/>
      </s:c>
      <s:c r="AG49" s="35" t="str">
        <s:f>IF(OR(AF49="",Seeds!$C$10=""),"",IF(ABS(AF49)&gt;Seeds!$C$10,"Có","Không"))</s:f>
        <s:v/>
      </s:c>
    </s:row>
    <s:row r="50" ht="15" customHeight="1" s="20">
      <s:c r="A50" s="33" t="n"/>
      <s:c r="B50" s="33" t="n"/>
      <s:c r="C50" s="33" t="n"/>
      <s:c r="D50" s="33" t="n"/>
      <s:c r="E50" s="33" t="n"/>
      <s:c r="F50" s="33" t="n"/>
      <s:c r="G50" s="33" t="n"/>
      <s:c r="H50" s="33" t="n"/>
      <s:c r="I50" s="33" t="n"/>
      <s:c r="J50" s="33" t="n"/>
      <s:c r="K50" s="33" t="n"/>
      <s:c r="L50" s="33" t="n"/>
      <s:c r="M50" s="33" t="n"/>
      <s:c r="N50" s="33" t="n"/>
      <s:c r="O50" s="33" t="n"/>
      <s:c r="P50" s="34" t="n"/>
      <s:c r="Q50" s="34" t="n"/>
      <s:c r="R50" s="33" t="n"/>
      <s:c r="S50" s="34" t="n"/>
      <s:c r="T50" s="34" t="n"/>
      <s:c r="U50" s="34" t="n"/>
      <s:c r="V50" s="34" t="n"/>
      <s:c r="W50" s="33" t="n"/>
      <s:c r="X50" s="33" t="n"/>
      <s:c r="Y50" s="33" t="n"/>
      <s:c r="Z50" s="34" t="n"/>
      <s:c r="AA50" s="34" t="n"/>
      <s:c r="AB50" s="33" t="n"/>
      <s:c r="AC50" s="33" t="n"/>
      <s:c r="AD50" s="35" t="str">
        <s:f>IF(P50="","",P50-LN(7))</s:f>
        <s:v/>
      </s:c>
      <s:c r="AE50" s="35" t="str">
        <s:f>IF(OR(T50="",S50=""),"",T50-S50)</s:f>
        <s:v/>
      </s:c>
      <s:c r="AF50" s="35" t="str">
        <s:f>IF(OR(V50="",Seeds!$C$8=""),"",V50-Seeds!$C$8)</s:f>
        <s:v/>
      </s:c>
      <s:c r="AG50" s="35" t="str">
        <s:f>IF(OR(AF50="",Seeds!$C$10=""),"",IF(ABS(AF50)&gt;Seeds!$C$10,"Có","Không"))</s:f>
        <s:v/>
      </s:c>
    </s:row>
    <s:row r="51" ht="15" customHeight="1" s="20">
      <s:c r="A51" s="33" t="n"/>
      <s:c r="B51" s="33" t="n"/>
      <s:c r="C51" s="33" t="n"/>
      <s:c r="D51" s="33" t="n"/>
      <s:c r="E51" s="33" t="n"/>
      <s:c r="F51" s="33" t="n"/>
      <s:c r="G51" s="33" t="n"/>
      <s:c r="H51" s="33" t="n"/>
      <s:c r="I51" s="33" t="n"/>
      <s:c r="J51" s="33" t="n"/>
      <s:c r="K51" s="33" t="n"/>
      <s:c r="L51" s="33" t="n"/>
      <s:c r="M51" s="33" t="n"/>
      <s:c r="N51" s="33" t="n"/>
      <s:c r="O51" s="33" t="n"/>
      <s:c r="P51" s="34" t="n"/>
      <s:c r="Q51" s="34" t="n"/>
      <s:c r="R51" s="33" t="n"/>
      <s:c r="S51" s="34" t="n"/>
      <s:c r="T51" s="34" t="n"/>
      <s:c r="U51" s="34" t="n"/>
      <s:c r="V51" s="34" t="n"/>
      <s:c r="W51" s="33" t="n"/>
      <s:c r="X51" s="33" t="n"/>
      <s:c r="Y51" s="33" t="n"/>
      <s:c r="Z51" s="34" t="n"/>
      <s:c r="AA51" s="34" t="n"/>
      <s:c r="AB51" s="33" t="n"/>
      <s:c r="AC51" s="33" t="n"/>
      <s:c r="AD51" s="35" t="str">
        <s:f>IF(P51="","",P51-LN(7))</s:f>
        <s:v/>
      </s:c>
      <s:c r="AE51" s="35" t="str">
        <s:f>IF(OR(T51="",S51=""),"",T51-S51)</s:f>
        <s:v/>
      </s:c>
      <s:c r="AF51" s="35" t="str">
        <s:f>IF(OR(V51="",Seeds!$C$8=""),"",V51-Seeds!$C$8)</s:f>
        <s:v/>
      </s:c>
      <s:c r="AG51" s="35" t="str">
        <s:f>IF(OR(AF51="",Seeds!$C$10=""),"",IF(ABS(AF51)&gt;Seeds!$C$10,"Có","Không"))</s:f>
        <s:v/>
      </s:c>
    </s:row>
    <s:row r="52" ht="15" customHeight="1" s="20">
      <s:c r="A52" s="33" t="n"/>
      <s:c r="B52" s="33" t="n"/>
      <s:c r="C52" s="33" t="n"/>
      <s:c r="D52" s="33" t="n"/>
      <s:c r="E52" s="33" t="n"/>
      <s:c r="F52" s="33" t="n"/>
      <s:c r="G52" s="33" t="n"/>
      <s:c r="H52" s="33" t="n"/>
      <s:c r="I52" s="33" t="n"/>
      <s:c r="J52" s="33" t="n"/>
      <s:c r="K52" s="33" t="n"/>
      <s:c r="L52" s="33" t="n"/>
      <s:c r="M52" s="33" t="n"/>
      <s:c r="N52" s="33" t="n"/>
      <s:c r="O52" s="33" t="n"/>
      <s:c r="P52" s="34" t="n"/>
      <s:c r="Q52" s="34" t="n"/>
      <s:c r="R52" s="33" t="n"/>
      <s:c r="S52" s="34" t="n"/>
      <s:c r="T52" s="34" t="n"/>
      <s:c r="U52" s="34" t="n"/>
      <s:c r="V52" s="34" t="n"/>
      <s:c r="W52" s="33" t="n"/>
      <s:c r="X52" s="33" t="n"/>
      <s:c r="Y52" s="33" t="n"/>
      <s:c r="Z52" s="34" t="n"/>
      <s:c r="AA52" s="34" t="n"/>
      <s:c r="AB52" s="33" t="n"/>
      <s:c r="AC52" s="33" t="n"/>
      <s:c r="AD52" s="35" t="str">
        <s:f>IF(P52="","",P52-LN(7))</s:f>
        <s:v/>
      </s:c>
      <s:c r="AE52" s="35" t="str">
        <s:f>IF(OR(T52="",S52=""),"",T52-S52)</s:f>
        <s:v/>
      </s:c>
      <s:c r="AF52" s="35" t="str">
        <s:f>IF(OR(V52="",Seeds!$C$8=""),"",V52-Seeds!$C$8)</s:f>
        <s:v/>
      </s:c>
      <s:c r="AG52" s="35" t="str">
        <s:f>IF(OR(AF52="",Seeds!$C$10=""),"",IF(ABS(AF52)&gt;Seeds!$C$10,"Có","Không"))</s:f>
        <s:v/>
      </s:c>
    </s:row>
    <s:row r="53" ht="15" customHeight="1" s="20">
      <s:c r="A53" s="33" t="n"/>
      <s:c r="B53" s="33" t="n"/>
      <s:c r="C53" s="33" t="n"/>
      <s:c r="D53" s="33" t="n"/>
      <s:c r="E53" s="33" t="n"/>
      <s:c r="F53" s="33" t="n"/>
      <s:c r="G53" s="33" t="n"/>
      <s:c r="H53" s="33" t="n"/>
      <s:c r="I53" s="33" t="n"/>
      <s:c r="J53" s="33" t="n"/>
      <s:c r="K53" s="33" t="n"/>
      <s:c r="L53" s="33" t="n"/>
      <s:c r="M53" s="33" t="n"/>
      <s:c r="N53" s="33" t="n"/>
      <s:c r="O53" s="33" t="n"/>
      <s:c r="P53" s="34" t="n"/>
      <s:c r="Q53" s="34" t="n"/>
      <s:c r="R53" s="33" t="n"/>
      <s:c r="S53" s="34" t="n"/>
      <s:c r="T53" s="34" t="n"/>
      <s:c r="U53" s="34" t="n"/>
      <s:c r="V53" s="34" t="n"/>
      <s:c r="W53" s="33" t="n"/>
      <s:c r="X53" s="33" t="n"/>
      <s:c r="Y53" s="33" t="n"/>
      <s:c r="Z53" s="34" t="n"/>
      <s:c r="AA53" s="34" t="n"/>
      <s:c r="AB53" s="33" t="n"/>
      <s:c r="AC53" s="33" t="n"/>
      <s:c r="AD53" s="35" t="str">
        <s:f>IF(P53="","",P53-LN(7))</s:f>
        <s:v/>
      </s:c>
      <s:c r="AE53" s="35" t="str">
        <s:f>IF(OR(T53="",S53=""),"",T53-S53)</s:f>
        <s:v/>
      </s:c>
      <s:c r="AF53" s="35" t="str">
        <s:f>IF(OR(V53="",Seeds!$C$8=""),"",V53-Seeds!$C$8)</s:f>
        <s:v/>
      </s:c>
      <s:c r="AG53" s="35" t="str">
        <s:f>IF(OR(AF53="",Seeds!$C$10=""),"",IF(ABS(AF53)&gt;Seeds!$C$10,"Có","Không"))</s:f>
        <s:v/>
      </s:c>
    </s:row>
    <s:row r="54" ht="15" customHeight="1" s="20">
      <s:c r="A54" s="33" t="n"/>
      <s:c r="B54" s="33" t="n"/>
      <s:c r="C54" s="33" t="n"/>
      <s:c r="D54" s="33" t="n"/>
      <s:c r="E54" s="33" t="n"/>
      <s:c r="F54" s="33" t="n"/>
      <s:c r="G54" s="33" t="n"/>
      <s:c r="H54" s="33" t="n"/>
      <s:c r="I54" s="33" t="n"/>
      <s:c r="J54" s="33" t="n"/>
      <s:c r="K54" s="33" t="n"/>
      <s:c r="L54" s="33" t="n"/>
      <s:c r="M54" s="33" t="n"/>
      <s:c r="N54" s="33" t="n"/>
      <s:c r="O54" s="33" t="n"/>
      <s:c r="P54" s="34" t="n"/>
      <s:c r="Q54" s="34" t="n"/>
      <s:c r="R54" s="33" t="n"/>
      <s:c r="S54" s="34" t="n"/>
      <s:c r="T54" s="34" t="n"/>
      <s:c r="U54" s="34" t="n"/>
      <s:c r="V54" s="34" t="n"/>
      <s:c r="W54" s="33" t="n"/>
      <s:c r="X54" s="33" t="n"/>
      <s:c r="Y54" s="33" t="n"/>
      <s:c r="Z54" s="34" t="n"/>
      <s:c r="AA54" s="34" t="n"/>
      <s:c r="AB54" s="33" t="n"/>
      <s:c r="AC54" s="33" t="n"/>
      <s:c r="AD54" s="35" t="str">
        <s:f>IF(P54="","",P54-LN(7))</s:f>
        <s:v/>
      </s:c>
      <s:c r="AE54" s="35" t="str">
        <s:f>IF(OR(T54="",S54=""),"",T54-S54)</s:f>
        <s:v/>
      </s:c>
      <s:c r="AF54" s="35" t="str">
        <s:f>IF(OR(V54="",Seeds!$C$8=""),"",V54-Seeds!$C$8)</s:f>
        <s:v/>
      </s:c>
      <s:c r="AG54" s="35" t="str">
        <s:f>IF(OR(AF54="",Seeds!$C$10=""),"",IF(ABS(AF54)&gt;Seeds!$C$10,"Có","Không"))</s:f>
        <s:v/>
      </s:c>
    </s:row>
    <s:row r="55" ht="15" customHeight="1" s="20">
      <s:c r="A55" s="33" t="n"/>
      <s:c r="B55" s="33" t="n"/>
      <s:c r="C55" s="33" t="n"/>
      <s:c r="D55" s="33" t="n"/>
      <s:c r="E55" s="33" t="n"/>
      <s:c r="F55" s="33" t="n"/>
      <s:c r="G55" s="33" t="n"/>
      <s:c r="H55" s="33" t="n"/>
      <s:c r="I55" s="33" t="n"/>
      <s:c r="J55" s="33" t="n"/>
      <s:c r="K55" s="33" t="n"/>
      <s:c r="L55" s="33" t="n"/>
      <s:c r="M55" s="33" t="n"/>
      <s:c r="N55" s="33" t="n"/>
      <s:c r="O55" s="33" t="n"/>
      <s:c r="P55" s="34" t="n"/>
      <s:c r="Q55" s="34" t="n"/>
      <s:c r="R55" s="33" t="n"/>
      <s:c r="S55" s="34" t="n"/>
      <s:c r="T55" s="34" t="n"/>
      <s:c r="U55" s="34" t="n"/>
      <s:c r="V55" s="34" t="n"/>
      <s:c r="W55" s="33" t="n"/>
      <s:c r="X55" s="33" t="n"/>
      <s:c r="Y55" s="33" t="n"/>
      <s:c r="Z55" s="34" t="n"/>
      <s:c r="AA55" s="34" t="n"/>
      <s:c r="AB55" s="33" t="n"/>
      <s:c r="AC55" s="33" t="n"/>
      <s:c r="AD55" s="35" t="str">
        <s:f>IF(P55="","",P55-LN(7))</s:f>
        <s:v/>
      </s:c>
      <s:c r="AE55" s="35" t="str">
        <s:f>IF(OR(T55="",S55=""),"",T55-S55)</s:f>
        <s:v/>
      </s:c>
      <s:c r="AF55" s="35" t="str">
        <s:f>IF(OR(V55="",Seeds!$C$8=""),"",V55-Seeds!$C$8)</s:f>
        <s:v/>
      </s:c>
      <s:c r="AG55" s="35" t="str">
        <s:f>IF(OR(AF55="",Seeds!$C$10=""),"",IF(ABS(AF55)&gt;Seeds!$C$10,"Có","Không"))</s:f>
        <s:v/>
      </s:c>
    </s:row>
    <s:row r="56" ht="15" customHeight="1" s="20">
      <s:c r="A56" s="33" t="n"/>
      <s:c r="B56" s="33" t="n"/>
      <s:c r="C56" s="33" t="n"/>
      <s:c r="D56" s="33" t="n"/>
      <s:c r="E56" s="33" t="n"/>
      <s:c r="F56" s="33" t="n"/>
      <s:c r="G56" s="33" t="n"/>
      <s:c r="H56" s="33" t="n"/>
      <s:c r="I56" s="33" t="n"/>
      <s:c r="J56" s="33" t="n"/>
      <s:c r="K56" s="33" t="n"/>
      <s:c r="L56" s="33" t="n"/>
      <s:c r="M56" s="33" t="n"/>
      <s:c r="N56" s="33" t="n"/>
      <s:c r="O56" s="33" t="n"/>
      <s:c r="P56" s="34" t="n"/>
      <s:c r="Q56" s="34" t="n"/>
      <s:c r="R56" s="33" t="n"/>
      <s:c r="S56" s="34" t="n"/>
      <s:c r="T56" s="34" t="n"/>
      <s:c r="U56" s="34" t="n"/>
      <s:c r="V56" s="34" t="n"/>
      <s:c r="W56" s="33" t="n"/>
      <s:c r="X56" s="33" t="n"/>
      <s:c r="Y56" s="33" t="n"/>
      <s:c r="Z56" s="34" t="n"/>
      <s:c r="AA56" s="34" t="n"/>
      <s:c r="AB56" s="33" t="n"/>
      <s:c r="AC56" s="33" t="n"/>
      <s:c r="AD56" s="35" t="str">
        <s:f>IF(P56="","",P56-LN(7))</s:f>
        <s:v/>
      </s:c>
      <s:c r="AE56" s="35" t="str">
        <s:f>IF(OR(T56="",S56=""),"",T56-S56)</s:f>
        <s:v/>
      </s:c>
      <s:c r="AF56" s="35" t="str">
        <s:f>IF(OR(V56="",Seeds!$C$8=""),"",V56-Seeds!$C$8)</s:f>
        <s:v/>
      </s:c>
      <s:c r="AG56" s="35" t="str">
        <s:f>IF(OR(AF56="",Seeds!$C$10=""),"",IF(ABS(AF56)&gt;Seeds!$C$10,"Có","Không"))</s:f>
        <s:v/>
      </s:c>
    </s:row>
    <s:row r="57" ht="15" customHeight="1" s="20">
      <s:c r="A57" s="33" t="n"/>
      <s:c r="B57" s="33" t="n"/>
      <s:c r="C57" s="33" t="n"/>
      <s:c r="D57" s="33" t="n"/>
      <s:c r="E57" s="33" t="n"/>
      <s:c r="F57" s="33" t="n"/>
      <s:c r="G57" s="33" t="n"/>
      <s:c r="H57" s="33" t="n"/>
      <s:c r="I57" s="33" t="n"/>
      <s:c r="J57" s="33" t="n"/>
      <s:c r="K57" s="33" t="n"/>
      <s:c r="L57" s="33" t="n"/>
      <s:c r="M57" s="33" t="n"/>
      <s:c r="N57" s="33" t="n"/>
      <s:c r="O57" s="33" t="n"/>
      <s:c r="P57" s="34" t="n"/>
      <s:c r="Q57" s="34" t="n"/>
      <s:c r="R57" s="33" t="n"/>
      <s:c r="S57" s="34" t="n"/>
      <s:c r="T57" s="34" t="n"/>
      <s:c r="U57" s="34" t="n"/>
      <s:c r="V57" s="34" t="n"/>
      <s:c r="W57" s="33" t="n"/>
      <s:c r="X57" s="33" t="n"/>
      <s:c r="Y57" s="33" t="n"/>
      <s:c r="Z57" s="34" t="n"/>
      <s:c r="AA57" s="34" t="n"/>
      <s:c r="AB57" s="33" t="n"/>
      <s:c r="AC57" s="33" t="n"/>
      <s:c r="AD57" s="35" t="str">
        <s:f>IF(P57="","",P57-LN(7))</s:f>
        <s:v/>
      </s:c>
      <s:c r="AE57" s="35" t="str">
        <s:f>IF(OR(T57="",S57=""),"",T57-S57)</s:f>
        <s:v/>
      </s:c>
      <s:c r="AF57" s="35" t="str">
        <s:f>IF(OR(V57="",Seeds!$C$8=""),"",V57-Seeds!$C$8)</s:f>
        <s:v/>
      </s:c>
      <s:c r="AG57" s="35" t="str">
        <s:f>IF(OR(AF57="",Seeds!$C$10=""),"",IF(ABS(AF57)&gt;Seeds!$C$10,"Có","Không"))</s:f>
        <s:v/>
      </s:c>
    </s:row>
    <s:row r="58" ht="15" customHeight="1" s="20">
      <s:c r="A58" s="33" t="n"/>
      <s:c r="B58" s="33" t="n"/>
      <s:c r="C58" s="33" t="n"/>
      <s:c r="D58" s="33" t="n"/>
      <s:c r="E58" s="33" t="n"/>
      <s:c r="F58" s="33" t="n"/>
      <s:c r="G58" s="33" t="n"/>
      <s:c r="H58" s="33" t="n"/>
      <s:c r="I58" s="33" t="n"/>
      <s:c r="J58" s="33" t="n"/>
      <s:c r="K58" s="33" t="n"/>
      <s:c r="L58" s="33" t="n"/>
      <s:c r="M58" s="33" t="n"/>
      <s:c r="N58" s="33" t="n"/>
      <s:c r="O58" s="33" t="n"/>
      <s:c r="P58" s="34" t="n"/>
      <s:c r="Q58" s="34" t="n"/>
      <s:c r="R58" s="33" t="n"/>
      <s:c r="S58" s="34" t="n"/>
      <s:c r="T58" s="34" t="n"/>
      <s:c r="U58" s="34" t="n"/>
      <s:c r="V58" s="34" t="n"/>
      <s:c r="W58" s="33" t="n"/>
      <s:c r="X58" s="33" t="n"/>
      <s:c r="Y58" s="33" t="n"/>
      <s:c r="Z58" s="34" t="n"/>
      <s:c r="AA58" s="34" t="n"/>
      <s:c r="AB58" s="33" t="n"/>
      <s:c r="AC58" s="33" t="n"/>
      <s:c r="AD58" s="35" t="str">
        <s:f>IF(P58="","",P58-LN(7))</s:f>
        <s:v/>
      </s:c>
      <s:c r="AE58" s="35" t="str">
        <s:f>IF(OR(T58="",S58=""),"",T58-S58)</s:f>
        <s:v/>
      </s:c>
      <s:c r="AF58" s="35" t="str">
        <s:f>IF(OR(V58="",Seeds!$C$8=""),"",V58-Seeds!$C$8)</s:f>
        <s:v/>
      </s:c>
      <s:c r="AG58" s="35" t="str">
        <s:f>IF(OR(AF58="",Seeds!$C$10=""),"",IF(ABS(AF58)&gt;Seeds!$C$10,"Có","Không"))</s:f>
        <s:v/>
      </s:c>
    </s:row>
    <s:row r="59" ht="15" customHeight="1" s="20">
      <s:c r="A59" s="33" t="n"/>
      <s:c r="B59" s="33" t="n"/>
      <s:c r="C59" s="33" t="n"/>
      <s:c r="D59" s="33" t="n"/>
      <s:c r="E59" s="33" t="n"/>
      <s:c r="F59" s="33" t="n"/>
      <s:c r="G59" s="33" t="n"/>
      <s:c r="H59" s="33" t="n"/>
      <s:c r="I59" s="33" t="n"/>
      <s:c r="J59" s="33" t="n"/>
      <s:c r="K59" s="33" t="n"/>
      <s:c r="L59" s="33" t="n"/>
      <s:c r="M59" s="33" t="n"/>
      <s:c r="N59" s="33" t="n"/>
      <s:c r="O59" s="33" t="n"/>
      <s:c r="P59" s="34" t="n"/>
      <s:c r="Q59" s="34" t="n"/>
      <s:c r="R59" s="33" t="n"/>
      <s:c r="S59" s="34" t="n"/>
      <s:c r="T59" s="34" t="n"/>
      <s:c r="U59" s="34" t="n"/>
      <s:c r="V59" s="34" t="n"/>
      <s:c r="W59" s="33" t="n"/>
      <s:c r="X59" s="33" t="n"/>
      <s:c r="Y59" s="33" t="n"/>
      <s:c r="Z59" s="34" t="n"/>
      <s:c r="AA59" s="34" t="n"/>
      <s:c r="AB59" s="33" t="n"/>
      <s:c r="AC59" s="33" t="n"/>
      <s:c r="AD59" s="35" t="str">
        <s:f>IF(P59="","",P59-LN(7))</s:f>
        <s:v/>
      </s:c>
      <s:c r="AE59" s="35" t="str">
        <s:f>IF(OR(T59="",S59=""),"",T59-S59)</s:f>
        <s:v/>
      </s:c>
      <s:c r="AF59" s="35" t="str">
        <s:f>IF(OR(V59="",Seeds!$C$8=""),"",V59-Seeds!$C$8)</s:f>
        <s:v/>
      </s:c>
      <s:c r="AG59" s="35" t="str">
        <s:f>IF(OR(AF59="",Seeds!$C$10=""),"",IF(ABS(AF59)&gt;Seeds!$C$10,"Có","Không"))</s:f>
        <s:v/>
      </s:c>
    </s:row>
    <s:row r="60" ht="15" customHeight="1" s="20">
      <s:c r="A60" s="33" t="n"/>
      <s:c r="B60" s="33" t="n"/>
      <s:c r="C60" s="33" t="n"/>
      <s:c r="D60" s="33" t="n"/>
      <s:c r="E60" s="33" t="n"/>
      <s:c r="F60" s="33" t="n"/>
      <s:c r="G60" s="33" t="n"/>
      <s:c r="H60" s="33" t="n"/>
      <s:c r="I60" s="33" t="n"/>
      <s:c r="J60" s="33" t="n"/>
      <s:c r="K60" s="33" t="n"/>
      <s:c r="L60" s="33" t="n"/>
      <s:c r="M60" s="33" t="n"/>
      <s:c r="N60" s="33" t="n"/>
      <s:c r="O60" s="33" t="n"/>
      <s:c r="P60" s="34" t="n"/>
      <s:c r="Q60" s="34" t="n"/>
      <s:c r="R60" s="33" t="n"/>
      <s:c r="S60" s="34" t="n"/>
      <s:c r="T60" s="34" t="n"/>
      <s:c r="U60" s="34" t="n"/>
      <s:c r="V60" s="34" t="n"/>
      <s:c r="W60" s="33" t="n"/>
      <s:c r="X60" s="33" t="n"/>
      <s:c r="Y60" s="33" t="n"/>
      <s:c r="Z60" s="34" t="n"/>
      <s:c r="AA60" s="34" t="n"/>
      <s:c r="AB60" s="33" t="n"/>
      <s:c r="AC60" s="33" t="n"/>
      <s:c r="AD60" s="35" t="str">
        <s:f>IF(P60="","",P60-LN(7))</s:f>
        <s:v/>
      </s:c>
      <s:c r="AE60" s="35" t="str">
        <s:f>IF(OR(T60="",S60=""),"",T60-S60)</s:f>
        <s:v/>
      </s:c>
      <s:c r="AF60" s="35" t="str">
        <s:f>IF(OR(V60="",Seeds!$C$8=""),"",V60-Seeds!$C$8)</s:f>
        <s:v/>
      </s:c>
      <s:c r="AG60" s="35" t="str">
        <s:f>IF(OR(AF60="",Seeds!$C$10=""),"",IF(ABS(AF60)&gt;Seeds!$C$10,"Có","Không"))</s:f>
        <s:v/>
      </s:c>
    </s:row>
    <s:row r="61" ht="15" customHeight="1" s="20">
      <s:c r="A61" s="33" t="n"/>
      <s:c r="B61" s="33" t="n"/>
      <s:c r="C61" s="33" t="n"/>
      <s:c r="D61" s="33" t="n"/>
      <s:c r="E61" s="33" t="n"/>
      <s:c r="F61" s="33" t="n"/>
      <s:c r="G61" s="33" t="n"/>
      <s:c r="H61" s="33" t="n"/>
      <s:c r="I61" s="33" t="n"/>
      <s:c r="J61" s="33" t="n"/>
      <s:c r="K61" s="33" t="n"/>
      <s:c r="L61" s="33" t="n"/>
      <s:c r="M61" s="33" t="n"/>
      <s:c r="N61" s="33" t="n"/>
      <s:c r="O61" s="33" t="n"/>
      <s:c r="P61" s="34" t="n"/>
      <s:c r="Q61" s="34" t="n"/>
      <s:c r="R61" s="33" t="n"/>
      <s:c r="S61" s="34" t="n"/>
      <s:c r="T61" s="34" t="n"/>
      <s:c r="U61" s="34" t="n"/>
      <s:c r="V61" s="34" t="n"/>
      <s:c r="W61" s="33" t="n"/>
      <s:c r="X61" s="33" t="n"/>
      <s:c r="Y61" s="33" t="n"/>
      <s:c r="Z61" s="34" t="n"/>
      <s:c r="AA61" s="34" t="n"/>
      <s:c r="AB61" s="33" t="n"/>
      <s:c r="AC61" s="33" t="n"/>
      <s:c r="AD61" s="35" t="str">
        <s:f>IF(P61="","",P61-LN(7))</s:f>
        <s:v/>
      </s:c>
      <s:c r="AE61" s="35" t="str">
        <s:f>IF(OR(T61="",S61=""),"",T61-S61)</s:f>
        <s:v/>
      </s:c>
      <s:c r="AF61" s="35" t="str">
        <s:f>IF(OR(V61="",Seeds!$C$8=""),"",V61-Seeds!$C$8)</s:f>
        <s:v/>
      </s:c>
      <s:c r="AG61" s="35" t="str">
        <s:f>IF(OR(AF61="",Seeds!$C$10=""),"",IF(ABS(AF61)&gt;Seeds!$C$10,"Có","Không"))</s:f>
        <s:v/>
      </s:c>
    </s:row>
  </s:sheetData>
  <s:autoFilter ref="A1:AG61"/>
  <s:dataValidations count="6">
    <s:dataValidation sqref="B2:B61" showDropDown="0" showInputMessage="0" showErrorMessage="0" allowBlank="1" type="list" errorStyle="stop" operator="between">
      <s:formula1>"baseline,loss,optimizer,hparam,dropout,clipping,amp,init,final,other"</s:formula1>
      <s:formula2>0</s:formula2>
    </s:dataValidation>
    <s:dataValidation sqref="D2:D61" showDropDown="0" showInputMessage="0" showErrorMessage="0" allowBlank="1" type="list" errorStyle="stop" operator="between">
      <s:formula1>"CE,MSE"</s:formula1>
      <s:formula2>0</s:formula2>
    </s:dataValidation>
    <s:dataValidation sqref="E2:E61" showDropDown="0" showInputMessage="0" showErrorMessage="0" allowBlank="1" type="list" errorStyle="stop" operator="between">
      <s:formula1>"SGD,SGD+momentum,Adam,AdamW"</s:formula1>
      <s:formula2>0</s:formula2>
    </s:dataValidation>
    <s:dataValidation sqref="M2:M61" showDropDown="0" showInputMessage="0" showErrorMessage="0" allowBlank="1" type="list" errorStyle="stop" operator="between">
      <s:formula1>"fp32,fp16,bf16"</s:formula1>
      <s:formula2>0</s:formula2>
    </s:dataValidation>
    <s:dataValidation sqref="N2:N61" showDropDown="0" showInputMessage="0" showErrorMessage="0" allowBlank="1" type="list" errorStyle="stop" operator="between">
      <s:formula1>"zeros,normal,xavier,he,default"</s:formula1>
      <s:formula2>0</s:formula2>
    </s:dataValidation>
    <s:dataValidation sqref="Y2:Y61" showDropDown="0" showInputMessage="0" showErrorMessage="0" allowBlank="1" type="list" errorStyle="stop" operator="between">
      <s:formula1>"Y,N"</s:formula1>
      <s:formula2>0</s:formula2>
    </s:dataValidation>
  </s:dataValidations>
  <s:printOptions horizontalCentered="0" verticalCentered="0" headings="0" gridLines="0" gridLinesSet="1"/>
  <s:pageMargins left="0.75" right="0.75" top="1" bottom="1" header="0.511811023622047" footer="0.511811023622047"/>
  <s:pageSetup orientation="portrait" paperSize="9" scale="100" fitToHeight="1" fitToWidth="1" pageOrder="downThenOver" blackAndWhite="0" draft="0" horizontalDpi="300" verticalDpi="300" copies="1"/>
</s:worksheet>
</file>

<file path=xl/worksheets/sheet3.xml><?xml version="1.0" encoding="utf-8"?>
<s:worksheet xmlns:s="http://schemas.openxmlformats.org/spreadsheetml/2006/main">
  <s:sheetPr filterMode="0">
    <s:outlinePr summaryBelow="1" summaryRight="1"/>
    <s:pageSetUpPr fitToPage="0"/>
  </s:sheetPr>
  <s:dimension ref="A1:D13"/>
  <s:sheetViews>
    <s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:selection pane="topLeft" activeCell="A1" activeCellId="0" sqref="A1"/>
    </s:sheetView>
  </s:sheetViews>
  <s:sheetFormatPr baseColWidth="8" defaultColWidth="8.6796875" defaultRowHeight="15" customHeight="0" zeroHeight="0" outlineLevelRow="0"/>
  <s:cols>
    <s:col width="26" customWidth="1" style="19" min="1" max="1"/>
    <s:col width="16" customWidth="1" style="19" min="2" max="4"/>
  </s:cols>
  <s:sheetData>
    <s:row r="1" ht="30" customHeight="1" s="20">
      <s:c r="A1" s="27" t="inlineStr">
        <s:is>
          <s:t>exp_id baseline (nhập)</s:t>
        </s:is>
      </s:c>
      <s:c r="B1" s="27" t="inlineStr">
        <s:is>
          <s:t>val_acc</s:t>
        </s:is>
      </s:c>
      <s:c r="C1" s="27" t="inlineStr">
        <s:is>
          <s:t>val_macro_f1</s:t>
        </s:is>
      </s:c>
      <s:c r="D1" s="27" t="inlineStr">
        <s:is>
          <s:t>best_val_loss</s:t>
        </s:is>
      </s:c>
    </s:row>
    <s:row r="2" ht="15" customHeight="1" s="20">
      <s:c r="A2" s="32" t="inlineStr">
        <s:is>
          <s:t>base-s1</s:t>
        </s:is>
      </s:c>
      <s:c r="B2" s="35">
        <s:f>IF($A2="","",IFERROR(IF(INDEX(Experiments!$U$2:$U$61,MATCH($A2,Experiments!$A$2:$A$61,0))="","",INDEX(Experiments!$U$2:$U$61,MATCH($A2,Experiments!$A$2:$A$61,0))),""))</s:f>
        <s:v>0.8998945805813128</s:v>
      </s:c>
      <s:c r="C2" s="35">
        <s:f>IF($A2="","",IFERROR(IF(INDEX(Experiments!$V$2:$V$61,MATCH($A2,Experiments!$A$2:$A$61,0))="","",INDEX(Experiments!$V$2:$V$61,MATCH($A2,Experiments!$A$2:$A$61,0))),""))</s:f>
        <s:v>0.8409000948669381</s:v>
      </s:c>
      <s:c r="D2" s="35">
        <s:f>IF($A2="","",IFERROR(IF(INDEX(Experiments!$Q$2:$Q$61,MATCH($A2,Experiments!$A$2:$A$61,0))="","",INDEX(Experiments!$Q$2:$Q$61,MATCH($A2,Experiments!$A$2:$A$61,0))),""))</s:f>
        <s:v>0.2460697146414664</s:v>
      </s:c>
    </s:row>
    <s:row r="3" ht="15" customHeight="1" s="20">
      <s:c r="A3" s="32" t="inlineStr">
        <s:is>
          <s:t>base-s2</s:t>
        </s:is>
      </s:c>
      <s:c r="B3" s="35">
        <s:f>IF($A3="","",IFERROR(IF(INDEX(Experiments!$U$2:$U$61,MATCH($A3,Experiments!$A$2:$A$61,0))="","",INDEX(Experiments!$U$2:$U$61,MATCH($A3,Experiments!$A$2:$A$61,0))),""))</s:f>
        <s:v>0.9011746735225146</s:v>
      </s:c>
      <s:c r="C3" s="35">
        <s:f>IF($A3="","",IFERROR(IF(INDEX(Experiments!$V$2:$V$61,MATCH($A3,Experiments!$A$2:$A$61,0))="","",INDEX(Experiments!$V$2:$V$61,MATCH($A3,Experiments!$A$2:$A$61,0))),""))</s:f>
        <s:v>0.8342671582111988</s:v>
      </s:c>
      <s:c r="D3" s="35">
        <s:f>IF($A3="","",IFERROR(IF(INDEX(Experiments!$Q$2:$Q$61,MATCH($A3,Experiments!$A$2:$A$61,0))="","",INDEX(Experiments!$Q$2:$Q$61,MATCH($A3,Experiments!$A$2:$A$61,0))),""))</s:f>
        <s:v>0.24850081552139583</s:v>
      </s:c>
    </s:row>
    <s:row r="4" ht="15" customHeight="1" s="20">
      <s:c r="A4" s="32" t="inlineStr">
        <s:is>
          <s:t>base-s3</s:t>
        </s:is>
      </s:c>
      <s:c r="B4" s="35">
        <s:f>IF($A4="","",IFERROR(IF(INDEX(Experiments!$U$2:$U$61,MATCH($A4,Experiments!$A$2:$A$61,0))="","",INDEX(Experiments!$U$2:$U$61,MATCH($A4,Experiments!$A$2:$A$61,0))),""))</s:f>
        <s:v>0.904616940255158</s:v>
      </s:c>
      <s:c r="C4" s="35">
        <s:f>IF($A4="","",IFERROR(IF(INDEX(Experiments!$V$2:$V$61,MATCH($A4,Experiments!$A$2:$A$61,0))="","",INDEX(Experiments!$V$2:$V$61,MATCH($A4,Experiments!$A$2:$A$61,0))),""))</s:f>
        <s:v>0.846571996749991</s:v>
      </s:c>
      <s:c r="D4" s="35">
        <s:f>IF($A4="","",IFERROR(IF(INDEX(Experiments!$Q$2:$Q$61,MATCH($A4,Experiments!$A$2:$A$61,0))="","",INDEX(Experiments!$Q$2:$Q$61,MATCH($A4,Experiments!$A$2:$A$61,0))),""))</s:f>
        <s:v>0.2369823111526753</s:v>
      </s:c>
    </s:row>
    <s:row r="5" ht="15" customHeight="1" s="20">
      <s:c r="A5" s="33" t="n"/>
      <s:c r="B5" s="35" t="str">
        <s:f>IF($A5="","",IFERROR(IF(INDEX(Experiments!$U$2:$U$61,MATCH($A5,Experiments!$A$2:$A$61,0))="","",INDEX(Experiments!$U$2:$U$61,MATCH($A5,Experiments!$A$2:$A$61,0))),""))</s:f>
        <s:v/>
      </s:c>
      <s:c r="C5" s="35" t="str">
        <s:f>IF($A5="","",IFERROR(IF(INDEX(Experiments!$V$2:$V$61,MATCH($A5,Experiments!$A$2:$A$61,0))="","",INDEX(Experiments!$V$2:$V$61,MATCH($A5,Experiments!$A$2:$A$61,0))),""))</s:f>
        <s:v/>
      </s:c>
      <s:c r="D5" s="35" t="str">
        <s:f>IF($A5="","",IFERROR(IF(INDEX(Experiments!$Q$2:$Q$61,MATCH($A5,Experiments!$A$2:$A$61,0))="","",INDEX(Experiments!$Q$2:$Q$61,MATCH($A5,Experiments!$A$2:$A$61,0))),""))</s:f>
        <s:v/>
      </s:c>
    </s:row>
    <s:row r="6" ht="15" customHeight="1" s="20">
      <s:c r="A6" s="33" t="n"/>
      <s:c r="B6" s="35" t="str">
        <s:f>IF($A6="","",IFERROR(IF(INDEX(Experiments!$U$2:$U$61,MATCH($A6,Experiments!$A$2:$A$61,0))="","",INDEX(Experiments!$U$2:$U$61,MATCH($A6,Experiments!$A$2:$A$61,0))),""))</s:f>
        <s:v/>
      </s:c>
      <s:c r="C6" s="35" t="str">
        <s:f>IF($A6="","",IFERROR(IF(INDEX(Experiments!$V$2:$V$61,MATCH($A6,Experiments!$A$2:$A$61,0))="","",INDEX(Experiments!$V$2:$V$61,MATCH($A6,Experiments!$A$2:$A$61,0))),""))</s:f>
        <s:v/>
      </s:c>
      <s:c r="D6" s="35" t="str">
        <s:f>IF($A6="","",IFERROR(IF(INDEX(Experiments!$Q$2:$Q$61,MATCH($A6,Experiments!$A$2:$A$61,0))="","",INDEX(Experiments!$Q$2:$Q$61,MATCH($A6,Experiments!$A$2:$A$61,0))),""))</s:f>
        <s:v/>
      </s:c>
    </s:row>
    <s:row r="8" ht="15" customHeight="1" s="20">
      <s:c r="A8" s="36" t="inlineStr">
        <s:is>
          <s:t>mean</s:t>
        </s:is>
      </s:c>
      <s:c r="B8" s="35">
        <s:f>IF(COUNT(B2:B6)=0,"",AVERAGE(B2:B6))</s:f>
        <s:v>0.9018953981196618</s:v>
      </s:c>
      <s:c r="C8" s="35">
        <s:f>IF(COUNT(C2:C6)=0,"",AVERAGE(C2:C6))</s:f>
        <s:v>0.8405797499427092</s:v>
      </s:c>
      <s:c r="D8" s="35">
        <s:f>IF(COUNT(D2:D6)=0,"",AVERAGE(D2:D6))</s:f>
        <s:v>0.24385094710517918</s:v>
      </s:c>
    </s:row>
    <s:row r="9" ht="15" customHeight="1" s="20">
      <s:c r="A9" s="36" t="inlineStr">
        <s:is>
          <s:t>std (mẫu)</s:t>
        </s:is>
      </s:c>
      <s:c r="B9" s="35">
        <s:f>IF(COUNT(B2:B6)&lt;2,"",STDEV(B2:B6))</s:f>
        <s:v>0.0024422844185290477</s:v>
      </s:c>
      <s:c r="C9" s="35">
        <s:f>IF(COUNT(C2:C6)&lt;2,"",STDEV(C2:C6))</s:f>
        <s:v>0.00615867100268358</s:v>
      </s:c>
      <s:c r="D9" s="35">
        <s:f>IF(COUNT(D2:D6)&lt;2,"",STDEV(D2:D6))</s:f>
        <s:v>0.006071341100458786</s:v>
      </s:c>
    </s:row>
    <s:row r="10" ht="15" customHeight="1" s="20">
      <s:c r="A10" s="36" t="inlineStr">
        <s:is>
          <s:t>2σ (ngưỡng nhiễu)</s:t>
        </s:is>
      </s:c>
      <s:c r="B10" s="35">
        <s:f>IF(B9="","",2*B9)</s:f>
        <s:v>0.004884568837058095</s:v>
      </s:c>
      <s:c r="C10" s="35">
        <s:f>IF(C9="","",2*C9)</s:f>
        <s:v>0.01231734200536716</s:v>
      </s:c>
      <s:c r="D10" s="35">
        <s:f>IF(D9="","",2*D9)</s:f>
        <s:v>0.012142682200917573</s:v>
      </s:c>
    </s:row>
    <s:row r="12" ht="15" customHeight="1" s="20">
      <s:c r="A12" s="22" t="inlineStr">
        <s:is>
          <s:t>Nhập exp_id của các lần chạy baseline (khác seed) ở cột A. Cần ≥ 2 seed để có σ.</s:t>
        </s:is>
      </s:c>
    </s:row>
    <s:row r="13" ht="15" customHeight="1" s="20">
      <s:c r="A13" s="22" t="inlineStr">
        <s:is>
          <s:t>Mọi chênh lệch nhỏ hơn 2σ không được coi là bằng chứng. Với ít seed, σ chỉ là ước lượng thô; nêu rõ trong báo cáo.</s:t>
        </s:is>
      </s:c>
    </s:row>
  </s:sheetData>
  <s:printOptions horizontalCentered="0" verticalCentered="0" headings="0" gridLines="0" gridLinesSet="1"/>
  <s:pageMargins left="0.75" right="0.75" top="1" bottom="1" header="0.511811023622047" footer="0.511811023622047"/>
  <s:pageSetup orientation="portrait" paperSize="9" scale="100" fitToHeight="1" fitToWidth="1" pageOrder="downThenOver" blackAndWhite="0" draft="0" horizontalDpi="300" verticalDpi="300" copies="1"/>
</s:worksheet>
</file>

<file path=xl/worksheets/sheet4.xml><?xml version="1.0" encoding="utf-8"?>
<s:worksheet xmlns:s="http://schemas.openxmlformats.org/spreadsheetml/2006/main">
  <s:sheetPr filterMode="0">
    <s:outlinePr summaryBelow="1" summaryRight="1"/>
    <s:pageSetUpPr fitToPage="0"/>
  </s:sheetPr>
  <s:dimension ref="A1:H14"/>
  <s:sheetViews>
    <s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:selection pane="topLeft" activeCell="A1" activeCellId="0" sqref="A1"/>
    </s:sheetView>
  </s:sheetViews>
  <s:sheetFormatPr baseColWidth="8" defaultColWidth="8.6796875" defaultRowHeight="15" customHeight="0" zeroHeight="0" outlineLevelRow="0"/>
  <s:cols>
    <s:col width="12" customWidth="1" style="19" min="1" max="1"/>
    <s:col width="10" customWidth="1" style="19" min="2" max="2"/>
    <s:col width="16" customWidth="1" style="19" min="3" max="5"/>
    <s:col width="14" customWidth="1" style="19" min="6" max="6"/>
    <s:col width="16" customWidth="1" style="19" min="7" max="7"/>
    <s:col width="50" customWidth="1" style="19" min="8" max="8"/>
  </s:cols>
  <s:sheetData>
    <s:row r="1" ht="31.5" customHeight="1" s="20">
      <s:c r="A1" s="27" t="inlineStr">
        <s:is>
          <s:t>group</s:t>
        </s:is>
      </s:c>
      <s:c r="B1" s="27" t="inlineStr">
        <s:is>
          <s:t>số dòng</s:t>
        </s:is>
      </s:c>
      <s:c r="C1" s="27" t="inlineStr">
        <s:is>
          <s:t>đã điền val_macro_f1</s:t>
        </s:is>
      </s:c>
      <s:c r="D1" s="27" t="inlineStr">
        <s:is>
          <s:t>val_macro_f1 cao nhất</s:t>
        </s:is>
      </s:c>
      <s:c r="E1" s="27" t="inlineStr">
        <s:is>
          <s:t>val_macro_f1 thấp nhất</s:t>
        </s:is>
      </s:c>
      <s:c r="F1" s="27" t="inlineStr">
        <s:is>
          <s:t>val_acc cao nhất</s:t>
        </s:is>
      </s:c>
      <s:c r="G1" s="27" t="inlineStr">
        <s:is>
          <s:t>đã thử chủ đề này?</s:t>
        </s:is>
      </s:c>
      <s:c r="H1" s="27" t="inlineStr">
        <s:is>
          <s:t>nhận xét ngắn (bạn viết)</s:t>
        </s:is>
      </s:c>
    </s:row>
    <s:row r="2" ht="15" customHeight="1" s="20">
      <s:c r="A2" s="31" t="inlineStr">
        <s:is>
          <s:t>baseline</s:t>
        </s:is>
      </s:c>
      <s:c r="B2" s="37">
        <s:f>COUNTIF(Experiments!$B$2:$B$61,A2)</s:f>
        <s:v>3</s:v>
      </s:c>
      <s:c r="C2" s="37">
        <s:f>COUNTIFS(Experiments!$B$2:$B$61,A2,Experiments!$V$2:$V$61,"&lt;&gt;")</s:f>
        <s:v>3</s:v>
      </s:c>
      <s:c r="D2" s="35">
        <s:f>IF(C2=0,"",_xlfn.MAXIFS(Experiments!$V$2:$V$61,Experiments!$B$2:$B$61,A2))</s:f>
        <s:v>0.846571996749991</s:v>
      </s:c>
      <s:c r="E2" s="35">
        <s:f>IF(C2=0,"",_xlfn.MINIFS(Experiments!$V$2:$V$61,Experiments!$B$2:$B$61,A2))</s:f>
        <s:v>0.8342671582111988</s:v>
      </s:c>
      <s:c r="F2" s="35">
        <s:f>IF(C2=0,"",_xlfn.MAXIFS(Experiments!$U$2:$U$61,Experiments!$B$2:$B$61,A2))</s:f>
        <s:v>0.904616940255158</s:v>
      </s:c>
      <s:c r="G2" s="37" t="inlineStr">
        <s:is>
          <s:t>—</s:t>
        </s:is>
      </s:c>
      <s:c r="H2" s="38" t="inlineStr">
        <s:is>
          <s:t>Best measured validation F1: base-s3 (0.8466); consult report for seed limitations.</s:t>
        </s:is>
      </s:c>
    </s:row>
    <s:row r="3" ht="15" customHeight="1" s="20">
      <s:c r="A3" s="31" t="inlineStr">
        <s:is>
          <s:t>loss</s:t>
        </s:is>
      </s:c>
      <s:c r="B3" s="37">
        <s:f>COUNTIF(Experiments!$B$2:$B$61,A3)</s:f>
        <s:v>1</s:v>
      </s:c>
      <s:c r="C3" s="37">
        <s:f>COUNTIFS(Experiments!$B$2:$B$61,A3,Experiments!$V$2:$V$61,"&lt;&gt;")</s:f>
        <s:v>1</s:v>
      </s:c>
      <s:c r="D3" s="35">
        <s:f>IF(C3=0,"",_xlfn.MAXIFS(Experiments!$V$2:$V$61,Experiments!$B$2:$B$61,A3))</s:f>
        <s:v>0.6911161276216683</s:v>
      </s:c>
      <s:c r="E3" s="35">
        <s:f>IF(C3=0,"",_xlfn.MINIFS(Experiments!$V$2:$V$61,Experiments!$B$2:$B$61,A3))</s:f>
        <s:v>0.6911161276216683</s:v>
      </s:c>
      <s:c r="F3" s="35">
        <s:f>IF(C3=0,"",_xlfn.MAXIFS(Experiments!$U$2:$U$61,Experiments!$B$2:$B$61,A3))</s:f>
        <s:v>0.8549837568038553</s:v>
      </s:c>
      <s:c r="G3" s="37" t="str">
        <s:f>IF(C3&gt;0,"Có","Chưa")</s:f>
        <s:v>C?</s:v>
      </s:c>
      <s:c r="H3" s="38" t="inlineStr">
        <s:is>
          <s:t>Best measured validation F1: loss-mse (0.6911); consult report for seed limitations.</s:t>
        </s:is>
      </s:c>
    </s:row>
    <s:row r="4" ht="15" customHeight="1" s="20">
      <s:c r="A4" s="31" t="inlineStr">
        <s:is>
          <s:t>optimizer</s:t>
        </s:is>
      </s:c>
      <s:c r="B4" s="37">
        <s:f>COUNTIF(Experiments!$B$2:$B$61,A4)</s:f>
        <s:v>6</s:v>
      </s:c>
      <s:c r="C4" s="37">
        <s:f>COUNTIFS(Experiments!$B$2:$B$61,A4,Experiments!$V$2:$V$61,"&lt;&gt;")</s:f>
        <s:v>6</s:v>
      </s:c>
      <s:c r="D4" s="35">
        <s:f>IF(C4=0,"",_xlfn.MAXIFS(Experiments!$V$2:$V$61,Experiments!$B$2:$B$61,A4))</s:f>
        <s:v>0.8656473274358131</s:v>
      </s:c>
      <s:c r="E4" s="35">
        <s:f>IF(C4=0,"",_xlfn.MINIFS(Experiments!$V$2:$V$61,Experiments!$B$2:$B$61,A4))</s:f>
        <s:v>0.7560347780387083</s:v>
      </s:c>
      <s:c r="F4" s="35">
        <s:f>IF(C4=0,"",_xlfn.MAXIFS(Experiments!$U$2:$U$61,Experiments!$B$2:$B$61,A4))</s:f>
        <s:v>0.9166110884017126</s:v>
      </s:c>
      <s:c r="G4" s="37" t="str">
        <s:f>IF(C4&gt;0,"Có","Chưa")</s:f>
        <s:v>C?</s:v>
      </s:c>
      <s:c r="H4" s="38" t="inlineStr">
        <s:is>
          <s:t>Best measured validation F1: search-adam-lr0.003 (0.8656); consult report for seed limitations.</s:t>
        </s:is>
      </s:c>
    </s:row>
    <s:row r="5" ht="15" customHeight="1" s="20">
      <s:c r="A5" s="31" t="inlineStr">
        <s:is>
          <s:t>hparam</s:t>
        </s:is>
      </s:c>
      <s:c r="B5" s="37">
        <s:f>COUNTIF(Experiments!$B$2:$B$61,A5)</s:f>
        <s:v>1</s:v>
      </s:c>
      <s:c r="C5" s="37">
        <s:f>COUNTIFS(Experiments!$B$2:$B$61,A5,Experiments!$V$2:$V$61,"&lt;&gt;")</s:f>
        <s:v>1</s:v>
      </s:c>
      <s:c r="D5" s="35">
        <s:f>IF(C5=0,"",_xlfn.MAXIFS(Experiments!$V$2:$V$61,Experiments!$B$2:$B$61,A5))</s:f>
        <s:v>0.8488148245073338</s:v>
      </s:c>
      <s:c r="E5" s="35">
        <s:f>IF(C5=0,"",_xlfn.MINIFS(Experiments!$V$2:$V$61,Experiments!$B$2:$B$61,A5))</s:f>
        <s:v>0.8488148245073338</s:v>
      </s:c>
      <s:c r="F5" s="35">
        <s:f>IF(C5=0,"",_xlfn.MAXIFS(Experiments!$U$2:$U$61,Experiments!$B$2:$B$61,A5))</s:f>
        <s:v>0.9134162345904778</s:v>
      </s:c>
      <s:c r="G5" s="37" t="str">
        <s:f>IF(C5&gt;0,"Có","Chưa")</s:f>
        <s:v>C?</s:v>
      </s:c>
      <s:c r="H5" s="38" t="inlineStr">
        <s:is>
          <s:t>Best measured validation F1: wide (0.8488); consult report for seed limitations.</s:t>
        </s:is>
      </s:c>
    </s:row>
    <s:row r="6" ht="15" customHeight="1" s="20">
      <s:c r="A6" s="31" t="inlineStr">
        <s:is>
          <s:t>dropout</s:t>
        </s:is>
      </s:c>
      <s:c r="B6" s="37">
        <s:f>COUNTIF(Experiments!$B$2:$B$61,A6)</s:f>
        <s:v>1</s:v>
      </s:c>
      <s:c r="C6" s="37">
        <s:f>COUNTIFS(Experiments!$B$2:$B$61,A6,Experiments!$V$2:$V$61,"&lt;&gt;")</s:f>
        <s:v>1</s:v>
      </s:c>
      <s:c r="D6" s="35">
        <s:f>IF(C6=0,"",_xlfn.MAXIFS(Experiments!$V$2:$V$61,Experiments!$B$2:$B$61,A6))</s:f>
        <s:v>0.7519379312918567</s:v>
      </s:c>
      <s:c r="E6" s="35">
        <s:f>IF(C6=0,"",_xlfn.MINIFS(Experiments!$V$2:$V$61,Experiments!$B$2:$B$61,A6))</s:f>
        <s:v>0.7519379312918567</s:v>
      </s:c>
      <s:c r="F6" s="35">
        <s:f>IF(C6=0,"",_xlfn.MAXIFS(Experiments!$U$2:$U$61,Experiments!$B$2:$B$61,A6))</s:f>
        <s:v>0.8633635248811342</s:v>
      </s:c>
      <s:c r="G6" s="37" t="str">
        <s:f>IF(C6&gt;0,"Có","Chưa")</s:f>
        <s:v>C?</s:v>
      </s:c>
      <s:c r="H6" s="38" t="inlineStr">
        <s:is>
          <s:t>Best measured validation F1: drop-0.3 (0.7519); consult report for seed limitations.</s:t>
        </s:is>
      </s:c>
    </s:row>
    <s:row r="7" ht="15" customHeight="1" s="20">
      <s:c r="A7" s="31" t="inlineStr">
        <s:is>
          <s:t>clipping</s:t>
        </s:is>
      </s:c>
      <s:c r="B7" s="37">
        <s:f>COUNTIF(Experiments!$B$2:$B$61,A7)</s:f>
        <s:v>3</s:v>
      </s:c>
      <s:c r="C7" s="37">
        <s:f>COUNTIFS(Experiments!$B$2:$B$61,A7,Experiments!$V$2:$V$61,"&lt;&gt;")</s:f>
        <s:v>3</s:v>
      </s:c>
      <s:c r="D7" s="35">
        <s:f>IF(C7=0,"",_xlfn.MAXIFS(Experiments!$V$2:$V$61,Experiments!$B$2:$B$61,A7))</s:f>
        <s:v>0.8528610245312961</s:v>
      </s:c>
      <s:c r="E7" s="35">
        <s:f>IF(C7=0,"",_xlfn.MINIFS(Experiments!$V$2:$V$61,Experiments!$B$2:$B$61,A7))</s:f>
        <s:v>0.8029910671675121</s:v>
      </s:c>
      <s:c r="F7" s="35">
        <s:f>IF(C7=0,"",_xlfn.MAXIFS(Experiments!$U$2:$U$61,Experiments!$B$2:$B$61,A7))</s:f>
        <s:v>0.907015769884469</s:v>
      </s:c>
      <s:c r="G7" s="37" t="str">
        <s:f>IF(C7&gt;0,"Có","Chưa")</s:f>
        <s:v>C?</s:v>
      </s:c>
      <s:c r="H7" s="38" t="inlineStr">
        <s:is>
          <s:t>Best measured validation F1: highlr-clip (0.8529); consult report for seed limitations.</s:t>
        </s:is>
      </s:c>
    </s:row>
    <s:row r="8" ht="15" customHeight="1" s="20">
      <s:c r="A8" s="31" t="inlineStr">
        <s:is>
          <s:t>amp</s:t>
        </s:is>
      </s:c>
      <s:c r="B8" s="37">
        <s:f>COUNTIF(Experiments!$B$2:$B$61,A8)</s:f>
        <s:v>1</s:v>
      </s:c>
      <s:c r="C8" s="37">
        <s:f>COUNTIFS(Experiments!$B$2:$B$61,A8,Experiments!$V$2:$V$61,"&lt;&gt;")</s:f>
        <s:v>1</s:v>
      </s:c>
      <s:c r="D8" s="35">
        <s:f>IF(C8=0,"",_xlfn.MAXIFS(Experiments!$V$2:$V$61,Experiments!$B$2:$B$61,A8))</s:f>
        <s:v>0.8318726725314878</s:v>
      </s:c>
      <s:c r="E8" s="35">
        <s:f>IF(C8=0,"",_xlfn.MINIFS(Experiments!$V$2:$V$61,Experiments!$B$2:$B$61,A8))</s:f>
        <s:v>0.8318726725314878</s:v>
      </s:c>
      <s:c r="F8" s="35">
        <s:f>IF(C8=0,"",_xlfn.MAXIFS(Experiments!$U$2:$U$61,Experiments!$B$2:$B$61,A8))</s:f>
        <s:v>0.897646350121555</s:v>
      </s:c>
      <s:c r="G8" s="37" t="str">
        <s:f>IF(C8&gt;0,"Có","Chưa")</s:f>
        <s:v>C?</s:v>
      </s:c>
      <s:c r="H8" s="38" t="inlineStr">
        <s:is>
          <s:t>Best measured validation F1: amp-fp16 (0.8319); consult report for seed limitations.</s:t>
        </s:is>
      </s:c>
    </s:row>
    <s:row r="9" ht="15" customHeight="1" s="20">
      <s:c r="A9" s="31" t="inlineStr">
        <s:is>
          <s:t>init</s:t>
        </s:is>
      </s:c>
      <s:c r="B9" s="37">
        <s:f>COUNTIF(Experiments!$B$2:$B$61,A9)</s:f>
        <s:v>3</s:v>
      </s:c>
      <s:c r="C9" s="37">
        <s:f>COUNTIFS(Experiments!$B$2:$B$61,A9,Experiments!$V$2:$V$61,"&lt;&gt;")</s:f>
        <s:v>3</s:v>
      </s:c>
      <s:c r="D9" s="35">
        <s:f>IF(C9=0,"",_xlfn.MAXIFS(Experiments!$V$2:$V$61,Experiments!$B$2:$B$61,A9))</s:f>
        <s:v>0.8317874851249659</s:v>
      </s:c>
      <s:c r="E9" s="35">
        <s:f>IF(C9=0,"",_xlfn.MINIFS(Experiments!$V$2:$V$61,Experiments!$B$2:$B$61,A9))</s:f>
        <s:v>0.09364999018625456</s:v>
      </s:c>
      <s:c r="F9" s="35">
        <s:f>IF(C9=0,"",_xlfn.MAXIFS(Experiments!$U$2:$U$61,Experiments!$B$2:$B$61,A9))</s:f>
        <s:v>0.899184613067705</s:v>
      </s:c>
      <s:c r="G9" s="37" t="str">
        <s:f>IF(C9&gt;0,"Có","Chưa")</s:f>
        <s:v>C?</s:v>
      </s:c>
      <s:c r="H9" s="38" t="inlineStr">
        <s:is>
          <s:t>Best measured validation F1: init-xavier (0.8318); consult report for seed limitations.</s:t>
        </s:is>
      </s:c>
    </s:row>
    <s:row r="10" ht="15" customHeight="1" s="20">
      <s:c r="A10" s="31" t="inlineStr">
        <s:is>
          <s:t>final</s:t>
        </s:is>
      </s:c>
      <s:c r="B10" s="37">
        <s:f>COUNTIF(Experiments!$B$2:$B$61,A10)</s:f>
        <s:v>2</s:v>
      </s:c>
      <s:c r="C10" s="37">
        <s:f>COUNTIFS(Experiments!$B$2:$B$61,A10,Experiments!$V$2:$V$61,"&lt;&gt;")</s:f>
        <s:v>2</s:v>
      </s:c>
      <s:c r="D10" s="35">
        <s:f>IF(C10=0,"",_xlfn.MAXIFS(Experiments!$V$2:$V$61,Experiments!$B$2:$B$61,A10))</s:f>
        <s:v>0.8783049511110713</s:v>
      </s:c>
      <s:c r="E10" s="35">
        <s:f>IF(C10=0,"",_xlfn.MINIFS(Experiments!$V$2:$V$61,Experiments!$B$2:$B$61,A10))</s:f>
        <s:v>0.8731931491257091</s:v>
      </s:c>
      <s:c r="F10" s="35">
        <s:f>IF(C10=0,"",_xlfn.MAXIFS(Experiments!$U$2:$U$61,Experiments!$B$2:$B$61,A10))</s:f>
        <s:v>0.918601148856522</s:v>
      </s:c>
      <s:c r="G10" s="37" t="inlineStr">
        <s:is>
          <s:t>—</s:t>
        </s:is>
      </s:c>
      <s:c r="H10" s="38" t="inlineStr">
        <s:is>
          <s:t>Best measured validation F1: final-s3 (0.8783); consult report for seed limitations.</s:t>
        </s:is>
      </s:c>
    </s:row>
    <s:row r="11" ht="15" customHeight="1" s="20">
      <s:c r="A11" s="31" t="inlineStr">
        <s:is>
          <s:t>other</s:t>
        </s:is>
      </s:c>
      <s:c r="B11" s="37">
        <s:f>COUNTIF(Experiments!$B$2:$B$61,A11)</s:f>
        <s:v>0</s:v>
      </s:c>
      <s:c r="C11" s="37">
        <s:f>COUNTIFS(Experiments!$B$2:$B$61,A11,Experiments!$V$2:$V$61,"&lt;&gt;")</s:f>
        <s:v>0</s:v>
      </s:c>
      <s:c r="D11" s="35" t="str">
        <s:f>IF(C11=0,"",_xlfn.MAXIFS(Experiments!$V$2:$V$61,Experiments!$B$2:$B$61,A11))</s:f>
        <s:v/>
      </s:c>
      <s:c r="E11" s="35" t="str">
        <s:f>IF(C11=0,"",_xlfn.MINIFS(Experiments!$V$2:$V$61,Experiments!$B$2:$B$61,A11))</s:f>
        <s:v/>
      </s:c>
      <s:c r="F11" s="35" t="str">
        <s:f>IF(C11=0,"",_xlfn.MAXIFS(Experiments!$U$2:$U$61,Experiments!$B$2:$B$61,A11))</s:f>
        <s:v/>
      </s:c>
      <s:c r="G11" s="37" t="inlineStr">
        <s:is>
          <s:t>—</s:t>
        </s:is>
      </s:c>
      <s:c r="H11" s="38" t="n"/>
    </s:row>
    <s:row r="12"/>
    <s:row r="13" ht="15" customHeight="1" s="20">
      <s:c r="A13" s="23" t="inlineStr">
        <s:is>
          <s:t>Số chủ đề (trong 7) đã thử:</s:t>
        </s:is>
      </s:c>
      <s:c r="D13" s="23" t="str">
        <s:f>COUNTIF(G2:G11,"Có")</s:f>
        <s:v/>
      </s:c>
    </s:row>
    <s:row r="14" ht="15" customHeight="1" s="20">
      <s:c r="A14" s="22" t="inlineStr">
        <s:is>
          <s:t>7 chủ đề: loss, optimizer, hparam, dropout, clipping, amp, init. Một chủ đề 'đã thử' khi có ≥ 1 dòng có val_macro_f1.</s:t>
        </s:is>
      </s:c>
    </s:row>
  </s:sheetData>
  <s:printOptions horizontalCentered="0" verticalCentered="0" headings="0" gridLines="0" gridLinesSet="1"/>
  <s:pageMargins left="0.75" right="0.75" top="1" bottom="1" header="0.511811023622047" footer="0.511811023622047"/>
  <s:pageSetup orientation="portrait" paperSize="9" scale="100" fitToHeight="1" fitToWidth="1" pageOrder="downThenOver" blackAndWhite="0" draft="0" horizontalDpi="300" verticalDpi="300" copies="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2026-10-03T07:22:41Z</dcterms:modified>
  <cp:revision>0</cp:revision>
</cp:coreProperties>
</file>